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N:\개인\성원플라워\거래내역서\노랑풍선\"/>
    </mc:Choice>
  </mc:AlternateContent>
  <bookViews>
    <workbookView xWindow="31080" yWindow="240" windowWidth="27570" windowHeight="14955" activeTab="10"/>
  </bookViews>
  <sheets>
    <sheet name="총계" sheetId="3" r:id="rId1"/>
    <sheet name="3월" sheetId="16" r:id="rId2"/>
    <sheet name="4월" sheetId="17" r:id="rId3"/>
    <sheet name="5월" sheetId="18" r:id="rId4"/>
    <sheet name="6월" sheetId="20" r:id="rId5"/>
    <sheet name="7월" sheetId="21" r:id="rId6"/>
    <sheet name="8월" sheetId="22" r:id="rId7"/>
    <sheet name="9월" sheetId="23" r:id="rId8"/>
    <sheet name="10월" sheetId="24" r:id="rId9"/>
    <sheet name="11월" sheetId="25" r:id="rId10"/>
    <sheet name="12월" sheetId="26" r:id="rId11"/>
    <sheet name="Sheet1" sheetId="19" r:id="rId1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26" l="1"/>
  <c r="J19" i="26"/>
  <c r="M6" i="3" s="1"/>
  <c r="J12" i="26"/>
  <c r="M5" i="3" s="1"/>
  <c r="J24" i="26" l="1"/>
  <c r="M8" i="3" s="1"/>
  <c r="K8" i="3"/>
  <c r="K6" i="3"/>
  <c r="K5" i="3"/>
  <c r="J28" i="25" l="1"/>
  <c r="J24" i="25"/>
  <c r="L6" i="3" s="1"/>
  <c r="J17" i="25"/>
  <c r="J29" i="25" l="1"/>
  <c r="L8" i="3" s="1"/>
  <c r="L5" i="3"/>
  <c r="J23" i="24"/>
  <c r="J19" i="24"/>
  <c r="J12" i="24"/>
  <c r="J24" i="24" l="1"/>
  <c r="J23" i="23"/>
  <c r="J19" i="23"/>
  <c r="J6" i="3" s="1"/>
  <c r="J12" i="23"/>
  <c r="J24" i="23" l="1"/>
  <c r="J8" i="3" s="1"/>
  <c r="J5" i="3"/>
  <c r="I8" i="3"/>
  <c r="I5" i="3"/>
  <c r="H8" i="3"/>
  <c r="H6" i="3"/>
  <c r="H5" i="3"/>
  <c r="G8" i="3"/>
  <c r="G6" i="3"/>
  <c r="G5" i="3"/>
  <c r="F5" i="3"/>
  <c r="J23" i="22" l="1"/>
  <c r="J19" i="22"/>
  <c r="J12" i="22"/>
  <c r="J24" i="22" s="1"/>
  <c r="J23" i="21" l="1"/>
  <c r="J19" i="21"/>
  <c r="J12" i="21"/>
  <c r="J24" i="21" s="1"/>
  <c r="J23" i="20" l="1"/>
  <c r="J19" i="20"/>
  <c r="J12" i="20"/>
  <c r="J24" i="20" s="1"/>
  <c r="J23" i="18" l="1"/>
  <c r="F7" i="3"/>
  <c r="J19" i="18"/>
  <c r="F6" i="3"/>
  <c r="J12" i="18"/>
  <c r="J24" i="18"/>
  <c r="F8" i="3"/>
  <c r="J13" i="17"/>
  <c r="J17" i="17"/>
  <c r="J21" i="17"/>
  <c r="J22" i="17"/>
  <c r="E8" i="3"/>
  <c r="E7" i="3"/>
  <c r="E6" i="3"/>
  <c r="E5" i="3"/>
  <c r="J8" i="16"/>
  <c r="J12" i="16"/>
  <c r="J16" i="16"/>
  <c r="J17" i="16"/>
  <c r="D8" i="3"/>
  <c r="D7" i="3"/>
  <c r="D6" i="3"/>
  <c r="D5" i="3"/>
  <c r="J9" i="3"/>
  <c r="I9" i="3"/>
  <c r="H9" i="3"/>
  <c r="F9" i="3"/>
  <c r="G9" i="3"/>
  <c r="D9" i="3"/>
  <c r="E9" i="3"/>
  <c r="M9" i="3"/>
  <c r="L9" i="3"/>
  <c r="K9" i="3"/>
  <c r="N6" i="3"/>
  <c r="N7" i="3"/>
  <c r="N5" i="3"/>
  <c r="C9" i="3"/>
  <c r="N8" i="3"/>
</calcChain>
</file>

<file path=xl/sharedStrings.xml><?xml version="1.0" encoding="utf-8"?>
<sst xmlns="http://schemas.openxmlformats.org/spreadsheetml/2006/main" count="874" uniqueCount="345">
  <si>
    <t>구분</t>
  </si>
  <si>
    <t>VAT 비대상</t>
    <phoneticPr fontId="4" type="noConversion"/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</si>
  <si>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</si>
  <si>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</si>
  <si>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</si>
  <si>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</si>
  <si>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</si>
  <si>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</si>
  <si>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</si>
  <si>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</si>
  <si>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</si>
  <si>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</si>
  <si>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</si>
  <si>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</si>
  <si>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합계</t>
  </si>
  <si>
    <t>거래처
(접대비)</t>
    <phoneticPr fontId="4" type="noConversion"/>
  </si>
  <si>
    <t>임직원
(복리후생비/경조금)</t>
    <phoneticPr fontId="4" type="noConversion"/>
  </si>
  <si>
    <t>사내조경
(소모품비)</t>
    <phoneticPr fontId="4" type="noConversion"/>
  </si>
  <si>
    <t>전월 대비 증감액</t>
    <phoneticPr fontId="4" type="noConversion"/>
  </si>
  <si>
    <t>단위:원(VAT 비대상)</t>
    <phoneticPr fontId="4" type="noConversion"/>
  </si>
  <si>
    <t>구분</t>
    <phoneticPr fontId="4" type="noConversion"/>
  </si>
  <si>
    <t>No</t>
    <phoneticPr fontId="4" type="noConversion"/>
  </si>
  <si>
    <t>배달일자</t>
    <phoneticPr fontId="4" type="noConversion"/>
  </si>
  <si>
    <t>상품명</t>
    <phoneticPr fontId="4" type="noConversion"/>
  </si>
  <si>
    <t>발주자</t>
    <phoneticPr fontId="4" type="noConversion"/>
  </si>
  <si>
    <t>요청팀</t>
    <phoneticPr fontId="4" type="noConversion"/>
  </si>
  <si>
    <t>수령인</t>
    <phoneticPr fontId="4" type="noConversion"/>
  </si>
  <si>
    <t>금액</t>
    <phoneticPr fontId="4" type="noConversion"/>
  </si>
  <si>
    <t>비고</t>
    <phoneticPr fontId="4" type="noConversion"/>
  </si>
  <si>
    <t>거래처</t>
    <phoneticPr fontId="4" type="noConversion"/>
  </si>
  <si>
    <t>소    계</t>
    <phoneticPr fontId="4" type="noConversion"/>
  </si>
  <si>
    <t>임직원</t>
    <phoneticPr fontId="4" type="noConversion"/>
  </si>
  <si>
    <t>사내
조경</t>
    <phoneticPr fontId="4" type="noConversion"/>
  </si>
  <si>
    <t>합    계</t>
    <phoneticPr fontId="4" type="noConversion"/>
  </si>
  <si>
    <t>배송지</t>
    <phoneticPr fontId="4" type="noConversion"/>
  </si>
  <si>
    <t>거래처 명</t>
    <phoneticPr fontId="4" type="noConversion"/>
  </si>
  <si>
    <t>동남아5팀</t>
    <phoneticPr fontId="4" type="noConversion"/>
  </si>
  <si>
    <t>부산상품영업팀</t>
    <phoneticPr fontId="4" type="noConversion"/>
  </si>
  <si>
    <t>사유</t>
    <phoneticPr fontId="4" type="noConversion"/>
  </si>
  <si>
    <t>근조화환</t>
    <phoneticPr fontId="4" type="noConversion"/>
  </si>
  <si>
    <t>-</t>
    <phoneticPr fontId="4" type="noConversion"/>
  </si>
  <si>
    <t>박상욱</t>
    <phoneticPr fontId="4" type="noConversion"/>
  </si>
  <si>
    <t>총무팀</t>
    <phoneticPr fontId="4" type="noConversion"/>
  </si>
  <si>
    <t>2023 경조화환 지출 내역(성원플라워)</t>
    <phoneticPr fontId="4" type="noConversion"/>
  </si>
  <si>
    <t xml:space="preserve"> 2023년 3월 경조화환 발주 내역 </t>
    <phoneticPr fontId="4" type="noConversion"/>
  </si>
  <si>
    <t>축하 난</t>
    <phoneticPr fontId="4" type="noConversion"/>
  </si>
  <si>
    <t>장일우</t>
    <phoneticPr fontId="4" type="noConversion"/>
  </si>
  <si>
    <t>이원희</t>
    <phoneticPr fontId="4" type="noConversion"/>
  </si>
  <si>
    <t>강신영</t>
    <phoneticPr fontId="4" type="noConversion"/>
  </si>
  <si>
    <t>강윤호</t>
    <phoneticPr fontId="4" type="noConversion"/>
  </si>
  <si>
    <t>세부퍼시픽</t>
    <phoneticPr fontId="4" type="noConversion"/>
  </si>
  <si>
    <t>하나투어</t>
    <phoneticPr fontId="4" type="noConversion"/>
  </si>
  <si>
    <t>이대(발산역)서울병원장례식장</t>
    <phoneticPr fontId="4" type="noConversion"/>
  </si>
  <si>
    <t>대구 수성요양병원</t>
    <phoneticPr fontId="4" type="noConversion"/>
  </si>
  <si>
    <t>서울특별시 중구 을지로 16, 프레지던트호텔 9층 907호 세부퍼시픽</t>
    <phoneticPr fontId="4" type="noConversion"/>
  </si>
  <si>
    <t xml:space="preserve"> 2023년 4월 경조화환 발주 내역 </t>
    <phoneticPr fontId="4" type="noConversion"/>
  </si>
  <si>
    <t>승진축하 난</t>
    <phoneticPr fontId="4" type="noConversion"/>
  </si>
  <si>
    <t>이전축하 난</t>
    <phoneticPr fontId="4" type="noConversion"/>
  </si>
  <si>
    <t>축하화환</t>
    <phoneticPr fontId="4" type="noConversion"/>
  </si>
  <si>
    <t>이상훈</t>
    <phoneticPr fontId="4" type="noConversion"/>
  </si>
  <si>
    <t>인천 청기와장례식장</t>
    <phoneticPr fontId="4" type="noConversion"/>
  </si>
  <si>
    <t>인천 성모병원장례식장</t>
    <phoneticPr fontId="4" type="noConversion"/>
  </si>
  <si>
    <t>부산 시민장례식장</t>
    <phoneticPr fontId="4" type="noConversion"/>
  </si>
  <si>
    <t>진에어 부산지점</t>
    <phoneticPr fontId="4" type="noConversion"/>
  </si>
  <si>
    <t>여가투어</t>
    <phoneticPr fontId="4" type="noConversion"/>
  </si>
  <si>
    <t>에어부산 부산지점</t>
    <phoneticPr fontId="4" type="noConversion"/>
  </si>
  <si>
    <t>에어서울</t>
    <phoneticPr fontId="4" type="noConversion"/>
  </si>
  <si>
    <t>비엣젯항공 부산지점</t>
    <phoneticPr fontId="4" type="noConversion"/>
  </si>
  <si>
    <t>서울드래곤시티 인스타일</t>
    <phoneticPr fontId="4" type="noConversion"/>
  </si>
  <si>
    <t>최지웅</t>
    <phoneticPr fontId="4" type="noConversion"/>
  </si>
  <si>
    <t>트래버스</t>
    <phoneticPr fontId="4" type="noConversion"/>
  </si>
  <si>
    <t xml:space="preserve"> 와이투어앤골프</t>
    <phoneticPr fontId="4" type="noConversion"/>
  </si>
  <si>
    <t>김대곤</t>
    <phoneticPr fontId="4" type="noConversion"/>
  </si>
  <si>
    <t>김진규</t>
    <phoneticPr fontId="4" type="noConversion"/>
  </si>
  <si>
    <t>김연숙</t>
    <phoneticPr fontId="4" type="noConversion"/>
  </si>
  <si>
    <t>김태완</t>
    <phoneticPr fontId="4" type="noConversion"/>
  </si>
  <si>
    <t>전덕재</t>
    <phoneticPr fontId="4" type="noConversion"/>
  </si>
  <si>
    <t>강민우</t>
    <phoneticPr fontId="4" type="noConversion"/>
  </si>
  <si>
    <t>에이투젯월드</t>
    <phoneticPr fontId="4" type="noConversion"/>
  </si>
  <si>
    <t>대양주팀</t>
    <phoneticPr fontId="4" type="noConversion"/>
  </si>
  <si>
    <t>부산지사</t>
    <phoneticPr fontId="4" type="noConversion"/>
  </si>
  <si>
    <t>제주팀</t>
    <phoneticPr fontId="4" type="noConversion"/>
  </si>
  <si>
    <t>　에어부산 부산지점</t>
    <phoneticPr fontId="4" type="noConversion"/>
  </si>
  <si>
    <t>일본2팀</t>
    <phoneticPr fontId="4" type="noConversion"/>
  </si>
  <si>
    <t>서귀포KAL호텔</t>
    <phoneticPr fontId="4" type="noConversion"/>
  </si>
  <si>
    <t>정재윤</t>
    <phoneticPr fontId="4" type="noConversion"/>
  </si>
  <si>
    <t xml:space="preserve"> 2023년 5월 경조화환 발주 내역 </t>
    <phoneticPr fontId="4" type="noConversion"/>
  </si>
  <si>
    <t>JK아트컨벤션</t>
    <phoneticPr fontId="4" type="noConversion"/>
  </si>
  <si>
    <t>본인 결혼</t>
    <phoneticPr fontId="4" type="noConversion"/>
  </si>
  <si>
    <t>판매제휴1팀</t>
    <phoneticPr fontId="4" type="noConversion"/>
  </si>
  <si>
    <t>이영균</t>
    <phoneticPr fontId="4" type="noConversion"/>
  </si>
  <si>
    <t>테라리움</t>
    <phoneticPr fontId="4" type="noConversion"/>
  </si>
  <si>
    <t>최명선</t>
    <phoneticPr fontId="4" type="noConversion"/>
  </si>
  <si>
    <t>노랑풍선</t>
    <phoneticPr fontId="4" type="noConversion"/>
  </si>
  <si>
    <t>서울 성모병원장례식장</t>
    <phoneticPr fontId="4" type="noConversion"/>
  </si>
  <si>
    <t>성광영</t>
    <phoneticPr fontId="4" type="noConversion"/>
  </si>
  <si>
    <t>정종원</t>
    <phoneticPr fontId="4" type="noConversion"/>
  </si>
  <si>
    <t>부사장님</t>
    <phoneticPr fontId="4" type="noConversion"/>
  </si>
  <si>
    <t>파주 운정장례식장</t>
    <phoneticPr fontId="4" type="noConversion"/>
  </si>
  <si>
    <t>동아탱커</t>
    <phoneticPr fontId="4" type="noConversion"/>
  </si>
  <si>
    <t>이승호</t>
    <phoneticPr fontId="4" type="noConversion"/>
  </si>
  <si>
    <t>광주 VIP장례타운</t>
    <phoneticPr fontId="4" type="noConversion"/>
  </si>
  <si>
    <t>부산영락공원장례식장</t>
    <phoneticPr fontId="4" type="noConversion"/>
  </si>
  <si>
    <t>필리핀항공</t>
    <phoneticPr fontId="4" type="noConversion"/>
  </si>
  <si>
    <t>황원준</t>
    <phoneticPr fontId="4" type="noConversion"/>
  </si>
  <si>
    <t>유럽2사업부</t>
    <phoneticPr fontId="4" type="noConversion"/>
  </si>
  <si>
    <t>인솔자 부친상</t>
    <phoneticPr fontId="4" type="noConversion"/>
  </si>
  <si>
    <t>박진성</t>
    <phoneticPr fontId="4" type="noConversion"/>
  </si>
  <si>
    <t>이혜진</t>
    <phoneticPr fontId="4" type="noConversion"/>
  </si>
  <si>
    <t>일본1팀</t>
    <phoneticPr fontId="4" type="noConversion"/>
  </si>
  <si>
    <t>웨딩헤너스</t>
    <phoneticPr fontId="4" type="noConversion"/>
  </si>
  <si>
    <t>서울시 노원구 동일로208길 20</t>
    <phoneticPr fontId="4" type="noConversion"/>
  </si>
  <si>
    <t>삼육서울병원</t>
    <phoneticPr fontId="4" type="noConversion"/>
  </si>
  <si>
    <t>주연경</t>
    <phoneticPr fontId="4" type="noConversion"/>
  </si>
  <si>
    <t>랜드스타</t>
    <phoneticPr fontId="4" type="noConversion"/>
  </si>
  <si>
    <t>대구의료원</t>
    <phoneticPr fontId="4" type="noConversion"/>
  </si>
  <si>
    <t>박효창</t>
    <phoneticPr fontId="4" type="noConversion"/>
  </si>
  <si>
    <t>이송원</t>
    <phoneticPr fontId="4" type="noConversion"/>
  </si>
  <si>
    <t>최진영</t>
    <phoneticPr fontId="4" type="noConversion"/>
  </si>
  <si>
    <t>남원의료원</t>
    <phoneticPr fontId="4" type="noConversion"/>
  </si>
  <si>
    <t>법인영업팀</t>
    <phoneticPr fontId="4" type="noConversion"/>
  </si>
  <si>
    <t>대한레슬링협회</t>
    <phoneticPr fontId="4" type="noConversion"/>
  </si>
  <si>
    <t>마케팅기획팀</t>
    <phoneticPr fontId="4" type="noConversion"/>
  </si>
  <si>
    <t>라마다 서울 신도림 호텔 2F 그랜드볼룸홀</t>
    <phoneticPr fontId="4" type="noConversion"/>
  </si>
  <si>
    <t>채널오투오</t>
    <phoneticPr fontId="4" type="noConversion"/>
  </si>
  <si>
    <t>축하화환</t>
    <phoneticPr fontId="4" type="noConversion"/>
  </si>
  <si>
    <t xml:space="preserve">인천 삼산월드컨벤션센터  </t>
    <phoneticPr fontId="4" type="noConversion"/>
  </si>
  <si>
    <t>일본2팀</t>
    <phoneticPr fontId="4" type="noConversion"/>
  </si>
  <si>
    <t>오상미</t>
    <phoneticPr fontId="4" type="noConversion"/>
  </si>
  <si>
    <t>이상훈</t>
    <phoneticPr fontId="4" type="noConversion"/>
  </si>
  <si>
    <t>서울 영등포 더파티룸</t>
    <phoneticPr fontId="4" type="noConversion"/>
  </si>
  <si>
    <t>그리다</t>
    <phoneticPr fontId="4" type="noConversion"/>
  </si>
  <si>
    <t>홍정협</t>
    <phoneticPr fontId="4" type="noConversion"/>
  </si>
  <si>
    <t xml:space="preserve">서울 엘리에나 호텔 </t>
    <phoneticPr fontId="4" type="noConversion"/>
  </si>
  <si>
    <t>사장님</t>
    <phoneticPr fontId="4" type="noConversion"/>
  </si>
  <si>
    <t>IT 본부장님</t>
    <phoneticPr fontId="4" type="noConversion"/>
  </si>
  <si>
    <t>재무본부장님</t>
    <phoneticPr fontId="4" type="noConversion"/>
  </si>
  <si>
    <t>박건우</t>
    <phoneticPr fontId="4" type="noConversion"/>
  </si>
  <si>
    <t>박건우</t>
    <phoneticPr fontId="4" type="noConversion"/>
  </si>
  <si>
    <t xml:space="preserve">대구 중구점 </t>
    <phoneticPr fontId="4" type="noConversion"/>
  </si>
  <si>
    <t>대리점영업팀/이정훈B</t>
    <phoneticPr fontId="4" type="noConversion"/>
  </si>
  <si>
    <t>김미경</t>
    <phoneticPr fontId="4" type="noConversion"/>
  </si>
  <si>
    <t>축하 화분</t>
    <phoneticPr fontId="4" type="noConversion"/>
  </si>
  <si>
    <t>항공기획팀 / 강수정</t>
    <phoneticPr fontId="4" type="noConversion"/>
  </si>
  <si>
    <t>정재현</t>
    <phoneticPr fontId="4" type="noConversion"/>
  </si>
  <si>
    <t>싱가포르항공</t>
    <phoneticPr fontId="4" type="noConversion"/>
  </si>
  <si>
    <t>승진 축하</t>
    <phoneticPr fontId="4" type="noConversion"/>
  </si>
  <si>
    <t>싱가포르 항공</t>
    <phoneticPr fontId="4" type="noConversion"/>
  </si>
  <si>
    <t xml:space="preserve">라마다 신도림호텔 </t>
    <phoneticPr fontId="4" type="noConversion"/>
  </si>
  <si>
    <t>박준미</t>
    <phoneticPr fontId="4" type="noConversion"/>
  </si>
  <si>
    <t>영전 축하</t>
    <phoneticPr fontId="4" type="noConversion"/>
  </si>
  <si>
    <t>아에로 멕시코 / 신용진 지사장</t>
    <phoneticPr fontId="4" type="noConversion"/>
  </si>
  <si>
    <t>아에로멕시코</t>
    <phoneticPr fontId="4" type="noConversion"/>
  </si>
  <si>
    <t>한예림</t>
    <phoneticPr fontId="4" type="noConversion"/>
  </si>
  <si>
    <t>이형준</t>
    <phoneticPr fontId="4" type="noConversion"/>
  </si>
  <si>
    <t>인투어</t>
    <phoneticPr fontId="4" type="noConversion"/>
  </si>
  <si>
    <t>국내사업부</t>
    <phoneticPr fontId="4" type="noConversion"/>
  </si>
  <si>
    <t>김동심</t>
    <phoneticPr fontId="4" type="noConversion"/>
  </si>
  <si>
    <t>인투어</t>
    <phoneticPr fontId="4" type="noConversion"/>
  </si>
  <si>
    <t>근조 화환</t>
    <phoneticPr fontId="4" type="noConversion"/>
  </si>
  <si>
    <t>고재경 회장님</t>
    <phoneticPr fontId="4" type="noConversion"/>
  </si>
  <si>
    <t>송석원</t>
    <phoneticPr fontId="4" type="noConversion"/>
  </si>
  <si>
    <t>전주시민장례문화원</t>
    <phoneticPr fontId="4" type="noConversion"/>
  </si>
  <si>
    <t>근조 화환</t>
    <phoneticPr fontId="4" type="noConversion"/>
  </si>
  <si>
    <t>중앙대병원 장례식장</t>
    <phoneticPr fontId="4" type="noConversion"/>
  </si>
  <si>
    <t>경성원</t>
    <phoneticPr fontId="4" type="noConversion"/>
  </si>
  <si>
    <t>개업 축하</t>
    <phoneticPr fontId="4" type="noConversion"/>
  </si>
  <si>
    <t>HI-JAPAN</t>
    <phoneticPr fontId="4" type="noConversion"/>
  </si>
  <si>
    <t>HI-JAPAN</t>
    <phoneticPr fontId="4" type="noConversion"/>
  </si>
  <si>
    <t>이문규</t>
    <phoneticPr fontId="4" type="noConversion"/>
  </si>
  <si>
    <t>제주항공</t>
    <phoneticPr fontId="4" type="noConversion"/>
  </si>
  <si>
    <t>소회영</t>
    <phoneticPr fontId="4" type="noConversion"/>
  </si>
  <si>
    <t>제주항공 국제영업팀</t>
    <phoneticPr fontId="4" type="noConversion"/>
  </si>
  <si>
    <t>이전 축하</t>
    <phoneticPr fontId="4" type="noConversion"/>
  </si>
  <si>
    <t>이경민</t>
    <phoneticPr fontId="4" type="noConversion"/>
  </si>
  <si>
    <t>박상욱</t>
    <phoneticPr fontId="4" type="noConversion"/>
  </si>
  <si>
    <t>제주항공</t>
    <phoneticPr fontId="4" type="noConversion"/>
  </si>
  <si>
    <t>제주항공</t>
    <phoneticPr fontId="4" type="noConversion"/>
  </si>
  <si>
    <t>김지훈</t>
    <phoneticPr fontId="4" type="noConversion"/>
  </si>
  <si>
    <t>부산상품영업팀</t>
    <phoneticPr fontId="4" type="noConversion"/>
  </si>
  <si>
    <t>정동열</t>
    <phoneticPr fontId="4" type="noConversion"/>
  </si>
  <si>
    <t xml:space="preserve"> 2023년 8월 경조화환 발주 내역 </t>
    <phoneticPr fontId="4" type="noConversion"/>
  </si>
  <si>
    <t xml:space="preserve"> 2023년 7월 경조화환 발주 내역 </t>
    <phoneticPr fontId="4" type="noConversion"/>
  </si>
  <si>
    <t xml:space="preserve"> 2023년 6월 경조화환 발주 내역 </t>
    <phoneticPr fontId="4" type="noConversion"/>
  </si>
  <si>
    <t>군포 자샘병원 장례식장</t>
    <phoneticPr fontId="4" type="noConversion"/>
  </si>
  <si>
    <t>은평성모병원 장례식장</t>
    <phoneticPr fontId="4" type="noConversion"/>
  </si>
  <si>
    <t>쉴낙원 인천장례식장</t>
    <phoneticPr fontId="4" type="noConversion"/>
  </si>
  <si>
    <t>황소연</t>
    <phoneticPr fontId="4" type="noConversion"/>
  </si>
  <si>
    <t>서울대학교 장례식장</t>
    <phoneticPr fontId="4" type="noConversion"/>
  </si>
  <si>
    <t>최태준</t>
    <phoneticPr fontId="4" type="noConversion"/>
  </si>
  <si>
    <t>윤관식</t>
    <phoneticPr fontId="4" type="noConversion"/>
  </si>
  <si>
    <t>황산장례문화원</t>
    <phoneticPr fontId="4" type="noConversion"/>
  </si>
  <si>
    <t>이상훈</t>
    <phoneticPr fontId="4" type="noConversion"/>
  </si>
  <si>
    <t>축하화환</t>
    <phoneticPr fontId="4" type="noConversion"/>
  </si>
  <si>
    <t>이상훈</t>
    <phoneticPr fontId="4" type="noConversion"/>
  </si>
  <si>
    <t>PJ호텔 헤스티아홀</t>
    <phoneticPr fontId="4" type="noConversion"/>
  </si>
  <si>
    <t>본인 결혼</t>
    <phoneticPr fontId="4" type="noConversion"/>
  </si>
  <si>
    <t>정산팀</t>
    <phoneticPr fontId="4" type="noConversion"/>
  </si>
  <si>
    <t>유림</t>
    <phoneticPr fontId="4" type="noConversion"/>
  </si>
  <si>
    <t>축하화환</t>
    <phoneticPr fontId="4" type="noConversion"/>
  </si>
  <si>
    <t>이상훈</t>
    <phoneticPr fontId="4" type="noConversion"/>
  </si>
  <si>
    <t>더파티움</t>
    <phoneticPr fontId="4" type="noConversion"/>
  </si>
  <si>
    <t>본인 결혼</t>
    <phoneticPr fontId="4" type="noConversion"/>
  </si>
  <si>
    <t>김윤주</t>
    <phoneticPr fontId="4" type="noConversion"/>
  </si>
  <si>
    <t>축하 난</t>
    <phoneticPr fontId="4" type="noConversion"/>
  </si>
  <si>
    <t>이상훈</t>
    <phoneticPr fontId="4" type="noConversion"/>
  </si>
  <si>
    <t>비즈니스포스트</t>
    <phoneticPr fontId="4" type="noConversion"/>
  </si>
  <si>
    <t>최영희</t>
    <phoneticPr fontId="4" type="noConversion"/>
  </si>
  <si>
    <t>비즈니스포스트</t>
    <phoneticPr fontId="4" type="noConversion"/>
  </si>
  <si>
    <t>축하화환</t>
    <phoneticPr fontId="4" type="noConversion"/>
  </si>
  <si>
    <t>이상훈</t>
    <phoneticPr fontId="4" type="noConversion"/>
  </si>
  <si>
    <t>웨딩그룹 위더스</t>
    <phoneticPr fontId="4" type="noConversion"/>
  </si>
  <si>
    <t>본인 결혼</t>
    <phoneticPr fontId="4" type="noConversion"/>
  </si>
  <si>
    <t>장서린</t>
    <phoneticPr fontId="4" type="noConversion"/>
  </si>
  <si>
    <t>축하화분</t>
    <phoneticPr fontId="4" type="noConversion"/>
  </si>
  <si>
    <t>이상훈</t>
    <phoneticPr fontId="4" type="noConversion"/>
  </si>
  <si>
    <t>인천 남동구</t>
    <phoneticPr fontId="4" type="noConversion"/>
  </si>
  <si>
    <t>이애리</t>
    <phoneticPr fontId="4" type="noConversion"/>
  </si>
  <si>
    <t>근조화환</t>
    <phoneticPr fontId="4" type="noConversion"/>
  </si>
  <si>
    <t>박상욱</t>
    <phoneticPr fontId="4" type="noConversion"/>
  </si>
  <si>
    <t>에어캐나다</t>
    <phoneticPr fontId="4" type="noConversion"/>
  </si>
  <si>
    <t>김정호</t>
    <phoneticPr fontId="4" type="noConversion"/>
  </si>
  <si>
    <t>삼성서울병원장례식장</t>
    <phoneticPr fontId="4" type="noConversion"/>
  </si>
  <si>
    <t>박상욱</t>
    <phoneticPr fontId="4" type="noConversion"/>
  </si>
  <si>
    <t>효자원장례식장</t>
    <phoneticPr fontId="4" type="noConversion"/>
  </si>
  <si>
    <t>최명선 부사장님</t>
    <phoneticPr fontId="4" type="noConversion"/>
  </si>
  <si>
    <t>상주</t>
    <phoneticPr fontId="4" type="noConversion"/>
  </si>
  <si>
    <t>축하화환</t>
    <phoneticPr fontId="4" type="noConversion"/>
  </si>
  <si>
    <t>박상욱</t>
    <phoneticPr fontId="4" type="noConversion"/>
  </si>
  <si>
    <t>한화손해보험 / 하재현 상무</t>
    <phoneticPr fontId="4" type="noConversion"/>
  </si>
  <si>
    <t>한화손해보험</t>
    <phoneticPr fontId="4" type="noConversion"/>
  </si>
  <si>
    <t>하재현</t>
    <phoneticPr fontId="4" type="noConversion"/>
  </si>
  <si>
    <t>축하 난</t>
    <phoneticPr fontId="4" type="noConversion"/>
  </si>
  <si>
    <t>아비아렙스코리아</t>
    <phoneticPr fontId="4" type="noConversion"/>
  </si>
  <si>
    <t>이은경</t>
    <phoneticPr fontId="4" type="noConversion"/>
  </si>
  <si>
    <t>아비아렙스코리아 이은경 대표</t>
    <phoneticPr fontId="4" type="noConversion"/>
  </si>
  <si>
    <t>이상훈</t>
    <phoneticPr fontId="4" type="noConversion"/>
  </si>
  <si>
    <t>파주 운전 규수당웨딩</t>
    <phoneticPr fontId="4" type="noConversion"/>
  </si>
  <si>
    <t>김만기</t>
    <phoneticPr fontId="4" type="noConversion"/>
  </si>
  <si>
    <t>축하 난</t>
    <phoneticPr fontId="4" type="noConversion"/>
  </si>
  <si>
    <t>이상훈</t>
    <phoneticPr fontId="4" type="noConversion"/>
  </si>
  <si>
    <t>티엔엠  / 김윤승 님</t>
    <phoneticPr fontId="4" type="noConversion"/>
  </si>
  <si>
    <t>티엔엠</t>
    <phoneticPr fontId="4" type="noConversion"/>
  </si>
  <si>
    <t>김윤승</t>
    <phoneticPr fontId="4" type="noConversion"/>
  </si>
  <si>
    <t>김진국 사장님</t>
    <phoneticPr fontId="4" type="noConversion"/>
  </si>
  <si>
    <t>축하화환</t>
    <phoneticPr fontId="4" type="noConversion"/>
  </si>
  <si>
    <t>인터불고 원주 / 신부측</t>
    <phoneticPr fontId="4" type="noConversion"/>
  </si>
  <si>
    <t xml:space="preserve"> 2023년 10월 경조화환 발주 내역 </t>
    <phoneticPr fontId="4" type="noConversion"/>
  </si>
  <si>
    <t xml:space="preserve"> 2023년 9월 경조화환 발주 내역 </t>
    <phoneticPr fontId="4" type="noConversion"/>
  </si>
  <si>
    <t xml:space="preserve">합천 고려병원장례식장 / </t>
    <phoneticPr fontId="4" type="noConversion"/>
  </si>
  <si>
    <t xml:space="preserve"> 2023년 11월 경조화환 발주 내역 </t>
    <phoneticPr fontId="4" type="noConversion"/>
  </si>
  <si>
    <t>축하 난</t>
    <phoneticPr fontId="4" type="noConversion"/>
  </si>
  <si>
    <t>이상훈</t>
    <phoneticPr fontId="4" type="noConversion"/>
  </si>
  <si>
    <t>서울 구로구 디지털로 24</t>
    <phoneticPr fontId="4" type="noConversion"/>
  </si>
  <si>
    <t>하인스㈜, 비케이㈜</t>
    <phoneticPr fontId="4" type="noConversion"/>
  </si>
  <si>
    <t>김현숙 상무</t>
    <phoneticPr fontId="4" type="noConversion"/>
  </si>
  <si>
    <t>축하화환</t>
    <phoneticPr fontId="4" type="noConversion"/>
  </si>
  <si>
    <t>가천컨벤션센터</t>
    <phoneticPr fontId="4" type="noConversion"/>
  </si>
  <si>
    <t>항공기획팀</t>
    <phoneticPr fontId="4" type="noConversion"/>
  </si>
  <si>
    <t>김후형</t>
    <phoneticPr fontId="4" type="noConversion"/>
  </si>
  <si>
    <t>경조</t>
    <phoneticPr fontId="4" type="noConversion"/>
  </si>
  <si>
    <t>축하 난</t>
    <phoneticPr fontId="4" type="noConversion"/>
  </si>
  <si>
    <t>박상욱</t>
    <phoneticPr fontId="4" type="noConversion"/>
  </si>
  <si>
    <t>현대홈쇼핑 / 한광영</t>
    <phoneticPr fontId="4" type="noConversion"/>
  </si>
  <si>
    <t>현대홈쇼핑</t>
    <phoneticPr fontId="4" type="noConversion"/>
  </si>
  <si>
    <t>유럽2 사업부</t>
    <phoneticPr fontId="4" type="noConversion"/>
  </si>
  <si>
    <t>이상훈</t>
    <phoneticPr fontId="4" type="noConversion"/>
  </si>
  <si>
    <t>서울 성모병원 장례식장 / 노현종</t>
    <phoneticPr fontId="4" type="noConversion"/>
  </si>
  <si>
    <t>축하화환</t>
    <phoneticPr fontId="4" type="noConversion"/>
  </si>
  <si>
    <t>이상훈</t>
    <phoneticPr fontId="4" type="noConversion"/>
  </si>
  <si>
    <t>이상훈</t>
    <phoneticPr fontId="4" type="noConversion"/>
  </si>
  <si>
    <t>최원석</t>
    <phoneticPr fontId="4" type="noConversion"/>
  </si>
  <si>
    <t>경조</t>
    <phoneticPr fontId="4" type="noConversion"/>
  </si>
  <si>
    <t>유럽3팀</t>
    <phoneticPr fontId="4" type="noConversion"/>
  </si>
  <si>
    <t>대구 뉴욕 뉴욕 //  최원석</t>
    <phoneticPr fontId="4" type="noConversion"/>
  </si>
  <si>
    <t>우리은행 본점 / 오슬기</t>
    <phoneticPr fontId="4" type="noConversion"/>
  </si>
  <si>
    <t>경조</t>
    <phoneticPr fontId="4" type="noConversion"/>
  </si>
  <si>
    <t>유럽3팀</t>
    <phoneticPr fontId="4" type="noConversion"/>
  </si>
  <si>
    <t>sk스토어</t>
    <phoneticPr fontId="4" type="noConversion"/>
  </si>
  <si>
    <t>이상훈</t>
    <phoneticPr fontId="4" type="noConversion"/>
  </si>
  <si>
    <t>포항e 요양병원장례식장  / 박대용</t>
    <phoneticPr fontId="4" type="noConversion"/>
  </si>
  <si>
    <t>이상훈</t>
    <phoneticPr fontId="4" type="noConversion"/>
  </si>
  <si>
    <t xml:space="preserve">인천세종병원장례식장 / </t>
    <phoneticPr fontId="4" type="noConversion"/>
  </si>
  <si>
    <t>내륙팀</t>
    <phoneticPr fontId="4" type="noConversion"/>
  </si>
  <si>
    <t>대한항공</t>
    <phoneticPr fontId="4" type="noConversion"/>
  </si>
  <si>
    <t>이태호</t>
    <phoneticPr fontId="4" type="noConversion"/>
  </si>
  <si>
    <t>축하화분</t>
    <phoneticPr fontId="4" type="noConversion"/>
  </si>
  <si>
    <t>이상훈</t>
    <phoneticPr fontId="4" type="noConversion"/>
  </si>
  <si>
    <t>경영기획팀 / 이애림</t>
    <phoneticPr fontId="4" type="noConversion"/>
  </si>
  <si>
    <t>경조</t>
    <phoneticPr fontId="4" type="noConversion"/>
  </si>
  <si>
    <t>경영기획팀</t>
    <phoneticPr fontId="4" type="noConversion"/>
  </si>
  <si>
    <t>근조화환</t>
    <phoneticPr fontId="4" type="noConversion"/>
  </si>
  <si>
    <t>이상훈</t>
    <phoneticPr fontId="4" type="noConversion"/>
  </si>
  <si>
    <t>순천향부천장례식장 / 상주 이승덕</t>
    <phoneticPr fontId="4" type="noConversion"/>
  </si>
  <si>
    <t>서양난</t>
    <phoneticPr fontId="4" type="noConversion"/>
  </si>
  <si>
    <t>터키항공</t>
    <phoneticPr fontId="4" type="noConversion"/>
  </si>
  <si>
    <t>홍석훈</t>
    <phoneticPr fontId="4" type="noConversion"/>
  </si>
  <si>
    <t>진에서 부산지점</t>
    <phoneticPr fontId="4" type="noConversion"/>
  </si>
  <si>
    <t>박규나</t>
    <phoneticPr fontId="4" type="noConversion"/>
  </si>
  <si>
    <t xml:space="preserve"> 2023년 12월 경조화환 발주 내역 </t>
    <phoneticPr fontId="4" type="noConversion"/>
  </si>
  <si>
    <t>축하 난</t>
    <phoneticPr fontId="4" type="noConversion"/>
  </si>
  <si>
    <t>제주항공</t>
    <phoneticPr fontId="4" type="noConversion"/>
  </si>
  <si>
    <t>제주항공</t>
    <phoneticPr fontId="4" type="noConversion"/>
  </si>
  <si>
    <t>동남아 5팀</t>
    <phoneticPr fontId="4" type="noConversion"/>
  </si>
  <si>
    <t>김태우</t>
    <phoneticPr fontId="4" type="noConversion"/>
  </si>
  <si>
    <t>축하 난</t>
    <phoneticPr fontId="4" type="noConversion"/>
  </si>
  <si>
    <t>이상훈</t>
    <phoneticPr fontId="4" type="noConversion"/>
  </si>
  <si>
    <t>팍스투어  김영아</t>
    <phoneticPr fontId="4" type="noConversion"/>
  </si>
  <si>
    <t>팍스투어</t>
    <phoneticPr fontId="4" type="noConversion"/>
  </si>
  <si>
    <t>김영아</t>
    <phoneticPr fontId="4" type="noConversion"/>
  </si>
  <si>
    <t>이상훈</t>
    <phoneticPr fontId="4" type="noConversion"/>
  </si>
  <si>
    <t>길병원 장례식장</t>
    <phoneticPr fontId="4" type="noConversion"/>
  </si>
  <si>
    <t>유럽3팀</t>
    <phoneticPr fontId="4" type="noConversion"/>
  </si>
  <si>
    <t>정유라</t>
    <phoneticPr fontId="4" type="noConversion"/>
  </si>
  <si>
    <t>축하 난</t>
    <phoneticPr fontId="4" type="noConversion"/>
  </si>
  <si>
    <t>이상훈</t>
    <phoneticPr fontId="4" type="noConversion"/>
  </si>
  <si>
    <t>키움증권</t>
    <phoneticPr fontId="4" type="noConversion"/>
  </si>
  <si>
    <t>이상훈</t>
    <phoneticPr fontId="4" type="noConversion"/>
  </si>
  <si>
    <t>카타르항공 / 최정은</t>
    <phoneticPr fontId="4" type="noConversion"/>
  </si>
  <si>
    <t>유럽4팀</t>
    <phoneticPr fontId="4" type="noConversion"/>
  </si>
  <si>
    <t>최정은</t>
    <phoneticPr fontId="4" type="noConversion"/>
  </si>
  <si>
    <t>제일기획 / 김민욱</t>
    <phoneticPr fontId="4" type="noConversion"/>
  </si>
  <si>
    <t>제일기획</t>
    <phoneticPr fontId="4" type="noConversion"/>
  </si>
  <si>
    <t>마케팅기획팀</t>
    <phoneticPr fontId="4" type="noConversion"/>
  </si>
  <si>
    <t>김민욱</t>
    <phoneticPr fontId="4" type="noConversion"/>
  </si>
  <si>
    <t>근조화환</t>
    <phoneticPr fontId="4" type="noConversion"/>
  </si>
  <si>
    <t>온종합병원장례식장</t>
    <phoneticPr fontId="4" type="noConversion"/>
  </si>
  <si>
    <t>윤성옥</t>
    <phoneticPr fontId="4" type="noConversion"/>
  </si>
  <si>
    <t>축하화환</t>
    <phoneticPr fontId="4" type="noConversion"/>
  </si>
  <si>
    <t>호텔인터네셔날  누벨르홀</t>
    <phoneticPr fontId="4" type="noConversion"/>
  </si>
  <si>
    <t>본인결혼</t>
    <phoneticPr fontId="4" type="noConversion"/>
  </si>
  <si>
    <t>해외항공상담발권팀</t>
    <phoneticPr fontId="4" type="noConversion"/>
  </si>
  <si>
    <t>변수연</t>
    <phoneticPr fontId="4" type="noConversion"/>
  </si>
  <si>
    <t>축하 난</t>
    <phoneticPr fontId="4" type="noConversion"/>
  </si>
  <si>
    <t>박상욱</t>
    <phoneticPr fontId="4" type="noConversion"/>
  </si>
  <si>
    <t>일산동국대학교 장례식장</t>
    <phoneticPr fontId="4" type="noConversion"/>
  </si>
  <si>
    <t>아주경제신문</t>
    <phoneticPr fontId="4" type="noConversion"/>
  </si>
  <si>
    <t>오종석</t>
    <phoneticPr fontId="4" type="noConversion"/>
  </si>
  <si>
    <t xml:space="preserve"> 축하 난</t>
    <phoneticPr fontId="4" type="noConversion"/>
  </si>
  <si>
    <t>비즈플레이</t>
    <phoneticPr fontId="4" type="noConversion"/>
  </si>
  <si>
    <t>심우진</t>
    <phoneticPr fontId="4" type="noConversion"/>
  </si>
  <si>
    <t>비즈플레이  심우진 이사</t>
    <phoneticPr fontId="4" type="noConversion"/>
  </si>
  <si>
    <t>법인영업팀</t>
    <phoneticPr fontId="4" type="noConversion"/>
  </si>
  <si>
    <t>제주 서귀포 동성수산회집</t>
    <phoneticPr fontId="4" type="noConversion"/>
  </si>
  <si>
    <t>김현숙 전무님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</si>
</sst>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#,##0_ ;[Red]\-#,##0\ "/>
    <numFmt numFmtId="177" formatCode="0000\-00\-00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9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b/>
      <sz val="9"/>
      <color rgb="FF0070C0"/>
      <name val="맑은 고딕"/>
      <family val="3"/>
      <charset val="129"/>
      <scheme val="minor"/>
    </font>
    <font>
      <b/>
      <sz val="9"/>
      <color theme="8"/>
      <name val="맑은 고딕"/>
      <family val="3"/>
      <charset val="129"/>
      <scheme val="minor"/>
    </font>
    <font>
      <b/>
      <sz val="9"/>
      <color theme="4" tint="-0.499984740745262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0" borderId="0">
      <alignment vertical="center"/>
    </xf>
  </cellStyleXfs>
  <cellXfs count="71">
    <xf numFmtId="0" fontId="0" fillId="0" borderId="0" xfId="0">
      <alignment vertical="center"/>
    </xf>
    <xf numFmtId="0" fontId="7" fillId="4" borderId="3" xfId="3" applyFont="1" applyFill="1" applyBorder="1" applyAlignment="1">
      <alignment horizontal="center" vertical="center"/>
    </xf>
    <xf numFmtId="0" fontId="7" fillId="4" borderId="1" xfId="3" applyFont="1" applyFill="1" applyBorder="1" applyAlignment="1">
      <alignment horizontal="center" vertical="center"/>
    </xf>
    <xf numFmtId="0" fontId="7" fillId="5" borderId="4" xfId="3" applyFont="1" applyFill="1" applyBorder="1" applyAlignment="1">
      <alignment horizontal="center" vertical="center"/>
    </xf>
    <xf numFmtId="0" fontId="7" fillId="4" borderId="3" xfId="2" applyFont="1" applyFill="1" applyBorder="1" applyAlignment="1">
      <alignment horizontal="center" vertical="center" wrapText="1"/>
    </xf>
    <xf numFmtId="41" fontId="8" fillId="0" borderId="1" xfId="1" applyFont="1" applyFill="1" applyBorder="1" applyAlignment="1">
      <alignment horizontal="right" vertical="center"/>
    </xf>
    <xf numFmtId="41" fontId="8" fillId="0" borderId="1" xfId="1" applyFont="1" applyBorder="1" applyAlignment="1">
      <alignment horizontal="right" vertical="center"/>
    </xf>
    <xf numFmtId="41" fontId="8" fillId="6" borderId="3" xfId="1" applyFont="1" applyFill="1" applyBorder="1" applyAlignment="1">
      <alignment horizontal="right" vertical="center"/>
    </xf>
    <xf numFmtId="41" fontId="7" fillId="4" borderId="5" xfId="1" applyFont="1" applyFill="1" applyBorder="1" applyAlignment="1">
      <alignment horizontal="right" vertical="center"/>
    </xf>
    <xf numFmtId="41" fontId="8" fillId="0" borderId="3" xfId="1" applyFont="1" applyFill="1" applyBorder="1" applyAlignment="1">
      <alignment horizontal="right" vertical="center"/>
    </xf>
    <xf numFmtId="0" fontId="7" fillId="5" borderId="3" xfId="2" applyFont="1" applyFill="1" applyBorder="1" applyAlignment="1">
      <alignment horizontal="center" vertical="center"/>
    </xf>
    <xf numFmtId="41" fontId="7" fillId="0" borderId="1" xfId="1" applyFont="1" applyFill="1" applyBorder="1" applyAlignment="1">
      <alignment horizontal="right" vertical="center"/>
    </xf>
    <xf numFmtId="41" fontId="7" fillId="4" borderId="6" xfId="1" applyFont="1" applyFill="1" applyBorder="1" applyAlignment="1">
      <alignment horizontal="right" vertical="center"/>
    </xf>
    <xf numFmtId="0" fontId="7" fillId="4" borderId="1" xfId="2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177" fontId="10" fillId="6" borderId="0" xfId="0" applyNumberFormat="1" applyFont="1" applyFill="1">
      <alignment vertical="center"/>
    </xf>
    <xf numFmtId="0" fontId="10" fillId="6" borderId="0" xfId="0" applyFont="1" applyFill="1">
      <alignment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8" xfId="0" applyFont="1" applyFill="1" applyBorder="1" applyAlignment="1">
      <alignment horizontal="center" vertical="center"/>
    </xf>
    <xf numFmtId="177" fontId="7" fillId="7" borderId="8" xfId="0" applyNumberFormat="1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1" fontId="8" fillId="6" borderId="1" xfId="0" applyNumberFormat="1" applyFont="1" applyFill="1" applyBorder="1" applyAlignment="1">
      <alignment horizontal="right" vertical="center"/>
    </xf>
    <xf numFmtId="14" fontId="8" fillId="0" borderId="1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41" fontId="7" fillId="5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41" fontId="7" fillId="5" borderId="1" xfId="0" applyNumberFormat="1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14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41" fontId="14" fillId="9" borderId="1" xfId="0" applyNumberFormat="1" applyFont="1" applyFill="1" applyBorder="1" applyAlignment="1">
      <alignment horizontal="right" vertical="center"/>
    </xf>
    <xf numFmtId="41" fontId="15" fillId="0" borderId="1" xfId="0" applyNumberFormat="1" applyFont="1" applyBorder="1">
      <alignment vertical="center"/>
    </xf>
    <xf numFmtId="41" fontId="17" fillId="0" borderId="1" xfId="1" applyFont="1" applyBorder="1">
      <alignment vertical="center"/>
    </xf>
    <xf numFmtId="41" fontId="18" fillId="0" borderId="1" xfId="0" applyNumberFormat="1" applyFont="1" applyBorder="1">
      <alignment vertical="center"/>
    </xf>
    <xf numFmtId="41" fontId="19" fillId="0" borderId="1" xfId="1" applyFont="1" applyBorder="1">
      <alignment vertical="center"/>
    </xf>
    <xf numFmtId="41" fontId="7" fillId="8" borderId="19" xfId="0" applyNumberFormat="1" applyFont="1" applyFill="1" applyBorder="1" applyAlignment="1">
      <alignment horizontal="right" vertical="center"/>
    </xf>
    <xf numFmtId="0" fontId="8" fillId="8" borderId="20" xfId="0" applyFont="1" applyFill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4" fillId="9" borderId="1" xfId="0" applyNumberFormat="1" applyFont="1" applyFill="1" applyBorder="1" applyAlignment="1">
      <alignment horizontal="center" vertical="center"/>
    </xf>
    <xf numFmtId="14" fontId="14" fillId="9" borderId="1" xfId="0" applyNumberFormat="1" applyFont="1" applyFill="1" applyBorder="1" applyAlignment="1">
      <alignment horizontal="center" vertical="center"/>
    </xf>
    <xf numFmtId="0" fontId="14" fillId="0" borderId="11" xfId="0" applyNumberFormat="1" applyFont="1" applyFill="1" applyBorder="1" applyAlignment="1">
      <alignment horizontal="center" vertical="center"/>
    </xf>
    <xf numFmtId="0" fontId="14" fillId="0" borderId="11" xfId="0" applyNumberFormat="1" applyFont="1" applyFill="1" applyBorder="1" applyAlignment="1">
      <alignment horizontal="center" vertical="center" wrapText="1"/>
    </xf>
    <xf numFmtId="41" fontId="14" fillId="0" borderId="11" xfId="1" applyNumberFormat="1" applyFont="1" applyFill="1" applyBorder="1" applyAlignment="1">
      <alignment horizontal="center" vertical="center"/>
    </xf>
    <xf numFmtId="0" fontId="14" fillId="5" borderId="1" xfId="0" applyNumberFormat="1" applyFont="1" applyFill="1" applyBorder="1" applyAlignment="1">
      <alignment horizontal="center" vertical="center"/>
    </xf>
    <xf numFmtId="0" fontId="14" fillId="5" borderId="11" xfId="0" applyNumberFormat="1" applyFont="1" applyFill="1" applyBorder="1" applyAlignment="1">
      <alignment horizontal="center" vertical="center"/>
    </xf>
    <xf numFmtId="0" fontId="14" fillId="6" borderId="11" xfId="0" applyNumberFormat="1" applyFont="1" applyFill="1" applyBorder="1" applyAlignment="1">
      <alignment horizontal="center" vertical="center"/>
    </xf>
    <xf numFmtId="0" fontId="14" fillId="6" borderId="1" xfId="0" applyNumberFormat="1" applyFont="1" applyFill="1" applyBorder="1" applyAlignment="1">
      <alignment horizontal="center" vertical="center"/>
    </xf>
    <xf numFmtId="41" fontId="19" fillId="0" borderId="1" xfId="0" applyNumberFormat="1" applyFont="1" applyBorder="1">
      <alignment vertical="center"/>
    </xf>
    <xf numFmtId="0" fontId="5" fillId="0" borderId="0" xfId="0" applyFont="1" applyAlignment="1">
      <alignment horizontal="center" vertical="center"/>
    </xf>
    <xf numFmtId="176" fontId="6" fillId="0" borderId="2" xfId="0" applyNumberFormat="1" applyFont="1" applyBorder="1" applyAlignment="1">
      <alignment horizontal="right" vertical="center"/>
    </xf>
    <xf numFmtId="176" fontId="6" fillId="0" borderId="0" xfId="0" applyNumberFormat="1" applyFont="1" applyAlignment="1">
      <alignment horizontal="right" vertical="center"/>
    </xf>
    <xf numFmtId="0" fontId="7" fillId="6" borderId="15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1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8" borderId="1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left" vertical="center"/>
    </xf>
    <xf numFmtId="0" fontId="11" fillId="6" borderId="0" xfId="0" applyFont="1" applyFill="1" applyAlignment="1">
      <alignment horizontal="right" vertical="center"/>
    </xf>
    <xf numFmtId="0" fontId="12" fillId="6" borderId="0" xfId="0" applyFont="1" applyFill="1" applyAlignment="1">
      <alignment horizontal="right" vertical="center"/>
    </xf>
    <xf numFmtId="0" fontId="7" fillId="6" borderId="15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22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</cellXfs>
  <cellStyles count="5">
    <cellStyle name="보통" xfId="3" builtinId="28"/>
    <cellStyle name="쉼표 [0]" xfId="1" builtinId="6"/>
    <cellStyle name="좋음" xfId="2" builtinId="26"/>
    <cellStyle name="표준" xfId="0" builtinId="0"/>
    <cellStyle name="표준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047836893945504E-2"/>
          <c:y val="1.6007345181055913E-2"/>
          <c:w val="0.91395216310605454"/>
          <c:h val="0.77007435366514387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>
              <a:solidFill>
                <a:srgbClr val="FF0000"/>
              </a:solidFill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solidFill>
                <a:schemeClr val="bg1"/>
              </a:solidFill>
              <a:ln>
                <a:solidFill>
                  <a:schemeClr val="dk1">
                    <a:lumMod val="25000"/>
                    <a:lumOff val="75000"/>
                  </a:scheme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pPr xmlns:c15="http://schemas.microsoft.com/office/drawing/2012/chart">
                  <a:prstGeom prst="round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총계!$B$4:$M$4</c:f>
              <c:strCache>
                <c:ptCount val="12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  <c:pt idx="5">
                  <c:v>6월</c:v>
                </c:pt>
                <c:pt idx="6">
                  <c:v>7월</c:v>
                </c:pt>
                <c:pt idx="7">
                  <c:v>8월</c:v>
                </c:pt>
                <c:pt idx="8">
                  <c:v>9월</c:v>
                </c:pt>
                <c:pt idx="9">
                  <c:v>10월</c:v>
                </c:pt>
                <c:pt idx="10">
                  <c:v>11월</c:v>
                </c:pt>
                <c:pt idx="11">
                  <c:v>12월</c:v>
                </c:pt>
              </c:strCache>
            </c:strRef>
          </c:cat>
          <c:val>
            <c:numRef>
              <c:f>총계!$B$8:$M$8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380000</c:v>
                </c:pt>
                <c:pt idx="3">
                  <c:v>860000</c:v>
                </c:pt>
                <c:pt idx="4">
                  <c:v>1370000</c:v>
                </c:pt>
                <c:pt idx="5">
                  <c:v>590000</c:v>
                </c:pt>
                <c:pt idx="6">
                  <c:v>610000</c:v>
                </c:pt>
                <c:pt idx="7">
                  <c:v>740000</c:v>
                </c:pt>
                <c:pt idx="8">
                  <c:v>560000</c:v>
                </c:pt>
                <c:pt idx="9">
                  <c:v>670000</c:v>
                </c:pt>
                <c:pt idx="10">
                  <c:v>1610000</c:v>
                </c:pt>
                <c:pt idx="11">
                  <c:v>860000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CA1-40C2-9968-086B75AB7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4"/>
        <c:overlap val="-22"/>
        <c:axId val="711125296"/>
        <c:axId val="711123120"/>
      </c:barChart>
      <c:catAx>
        <c:axId val="711125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123120"/>
        <c:crosses val="autoZero"/>
        <c:auto val="1"/>
        <c:lblAlgn val="ctr"/>
        <c:lblOffset val="100"/>
        <c:noMultiLvlLbl val="0"/>
      </c:catAx>
      <c:valAx>
        <c:axId val="711123120"/>
        <c:scaling>
          <c:orientation val="minMax"/>
          <c:max val="2000000"/>
        </c:scaling>
        <c:delete val="0"/>
        <c:axPos val="l"/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11125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390526</xdr:rowOff>
    </xdr:from>
    <xdr:to>
      <xdr:col>12</xdr:col>
      <xdr:colOff>685800</xdr:colOff>
      <xdr:row>2</xdr:row>
      <xdr:rowOff>542925</xdr:rowOff>
    </xdr:to>
    <xdr:graphicFrame macro="">
      <xdr:nvGraphicFramePr>
        <xdr:cNvPr id="4" name="차트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9"/>
  <sheetViews>
    <sheetView view="pageBreakPreview" zoomScaleNormal="100" zoomScaleSheetLayoutView="100" workbookViewId="0">
      <selection activeCell="N18" sqref="N18"/>
    </sheetView>
  </sheetViews>
  <sheetFormatPr defaultRowHeight="16.5" x14ac:dyDescent="0.3"/>
  <cols>
    <col min="1" max="1" width="16.375" customWidth="1"/>
    <col min="2" max="4" width="10.5" bestFit="1" customWidth="1"/>
    <col min="5" max="5" width="9.625" bestFit="1" customWidth="1"/>
    <col min="6" max="6" width="10.5" bestFit="1" customWidth="1"/>
    <col min="7" max="7" width="9.125" bestFit="1" customWidth="1"/>
    <col min="8" max="8" width="10.5" bestFit="1" customWidth="1"/>
    <col min="9" max="9" width="9.125" bestFit="1" customWidth="1"/>
    <col min="10" max="10" width="10.5" bestFit="1" customWidth="1"/>
    <col min="11" max="11" width="9.625" bestFit="1" customWidth="1"/>
    <col min="12" max="12" width="10.5" bestFit="1" customWidth="1"/>
    <col min="13" max="13" width="9.125" bestFit="1" customWidth="1"/>
    <col min="14" max="14" width="10.5" bestFit="1" customWidth="1"/>
  </cols>
  <sheetData>
    <row r="1" spans="1:14" ht="31.5" x14ac:dyDescent="0.3">
      <c r="A1" s="53" t="s">
        <v>43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</row>
    <row r="2" spans="1:14" ht="168.75" customHeight="1" x14ac:dyDescent="0.3"/>
    <row r="3" spans="1:14" ht="45.75" customHeight="1" thickBot="1" x14ac:dyDescent="0.35">
      <c r="A3" s="54" t="s">
        <v>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5"/>
    </row>
    <row r="4" spans="1:14" x14ac:dyDescent="0.3">
      <c r="A4" s="1" t="s">
        <v>0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1" t="s">
        <v>13</v>
      </c>
      <c r="N4" s="3" t="s">
        <v>14</v>
      </c>
    </row>
    <row r="5" spans="1:14" ht="27" x14ac:dyDescent="0.3">
      <c r="A5" s="4" t="s">
        <v>15</v>
      </c>
      <c r="B5" s="5">
        <v>0</v>
      </c>
      <c r="C5" s="5">
        <v>0</v>
      </c>
      <c r="D5" s="5">
        <f>'3월'!J8</f>
        <v>380000</v>
      </c>
      <c r="E5" s="5">
        <f>'4월'!J13</f>
        <v>860000</v>
      </c>
      <c r="F5" s="5">
        <f>'5월'!J12</f>
        <v>750000</v>
      </c>
      <c r="G5" s="5">
        <f>'6월'!J12</f>
        <v>500000</v>
      </c>
      <c r="H5" s="5">
        <f>'7월'!J12</f>
        <v>520000</v>
      </c>
      <c r="I5" s="5">
        <f>'8월'!J12</f>
        <v>740000</v>
      </c>
      <c r="J5" s="5">
        <f>'9월'!J12</f>
        <v>190000</v>
      </c>
      <c r="K5" s="5">
        <f>'10월'!J12</f>
        <v>580000</v>
      </c>
      <c r="L5" s="5">
        <f>'11월'!J17</f>
        <v>1240000</v>
      </c>
      <c r="M5" s="7">
        <f>'12월'!J12</f>
        <v>770000</v>
      </c>
      <c r="N5" s="8">
        <f>SUM(B5:M5)</f>
        <v>6530000</v>
      </c>
    </row>
    <row r="6" spans="1:14" ht="27" x14ac:dyDescent="0.3">
      <c r="A6" s="4" t="s">
        <v>16</v>
      </c>
      <c r="B6" s="5">
        <v>0</v>
      </c>
      <c r="C6" s="6">
        <v>0</v>
      </c>
      <c r="D6" s="5">
        <f>'3월'!J12</f>
        <v>0</v>
      </c>
      <c r="E6" s="5">
        <f>'4월'!J17</f>
        <v>0</v>
      </c>
      <c r="F6" s="5">
        <f>'5월'!J19</f>
        <v>620000</v>
      </c>
      <c r="G6" s="5">
        <f>'6월'!J19</f>
        <v>90000</v>
      </c>
      <c r="H6" s="5">
        <f>'7월'!J19</f>
        <v>90000</v>
      </c>
      <c r="I6" s="5"/>
      <c r="J6" s="5">
        <f>'9월'!J19</f>
        <v>370000</v>
      </c>
      <c r="K6" s="5">
        <f>'10월'!J19</f>
        <v>90000</v>
      </c>
      <c r="L6" s="5">
        <f>'11월'!J24</f>
        <v>370000</v>
      </c>
      <c r="M6" s="7">
        <f>'12월'!J19</f>
        <v>90000</v>
      </c>
      <c r="N6" s="8">
        <f t="shared" ref="N6:N8" si="0">SUM(B6:M6)</f>
        <v>1720000</v>
      </c>
    </row>
    <row r="7" spans="1:14" ht="27" x14ac:dyDescent="0.3">
      <c r="A7" s="4" t="s">
        <v>17</v>
      </c>
      <c r="B7" s="5">
        <v>0</v>
      </c>
      <c r="C7" s="5">
        <v>0</v>
      </c>
      <c r="D7" s="5">
        <f>'3월'!J16</f>
        <v>0</v>
      </c>
      <c r="E7" s="5">
        <f>'4월'!J21</f>
        <v>0</v>
      </c>
      <c r="F7" s="5">
        <f>'5월'!J23</f>
        <v>0</v>
      </c>
      <c r="G7" s="5"/>
      <c r="H7" s="5"/>
      <c r="I7" s="5"/>
      <c r="J7" s="5"/>
      <c r="K7" s="5"/>
      <c r="L7" s="5"/>
      <c r="M7" s="9"/>
      <c r="N7" s="8">
        <f t="shared" si="0"/>
        <v>0</v>
      </c>
    </row>
    <row r="8" spans="1:14" ht="17.25" thickBot="1" x14ac:dyDescent="0.35">
      <c r="A8" s="10" t="s">
        <v>14</v>
      </c>
      <c r="B8" s="11">
        <v>0</v>
      </c>
      <c r="C8" s="11">
        <v>0</v>
      </c>
      <c r="D8" s="11">
        <f>'3월'!J17</f>
        <v>380000</v>
      </c>
      <c r="E8" s="11">
        <f>'4월'!J22</f>
        <v>860000</v>
      </c>
      <c r="F8" s="11">
        <f>'5월'!J24</f>
        <v>1370000</v>
      </c>
      <c r="G8" s="11">
        <f>'6월'!J24</f>
        <v>590000</v>
      </c>
      <c r="H8" s="11">
        <f>'7월'!J24</f>
        <v>610000</v>
      </c>
      <c r="I8" s="11">
        <f>'8월'!J24</f>
        <v>740000</v>
      </c>
      <c r="J8" s="11">
        <f>'9월'!J24</f>
        <v>560000</v>
      </c>
      <c r="K8" s="11">
        <f>'10월'!J24</f>
        <v>670000</v>
      </c>
      <c r="L8" s="11">
        <f>'11월'!J29</f>
        <v>1610000</v>
      </c>
      <c r="M8" s="11">
        <f>'12월'!J24</f>
        <v>860000</v>
      </c>
      <c r="N8" s="12">
        <f t="shared" si="0"/>
        <v>8250000</v>
      </c>
    </row>
    <row r="9" spans="1:14" x14ac:dyDescent="0.3">
      <c r="A9" s="13" t="s">
        <v>18</v>
      </c>
      <c r="B9" s="36">
        <v>0</v>
      </c>
      <c r="C9" s="38">
        <f>C8-B8</f>
        <v>0</v>
      </c>
      <c r="D9" s="35">
        <f>D8-C8</f>
        <v>380000</v>
      </c>
      <c r="E9" s="38">
        <f t="shared" ref="E9:J9" si="1">E8-D8</f>
        <v>480000</v>
      </c>
      <c r="F9" s="35">
        <f t="shared" si="1"/>
        <v>510000</v>
      </c>
      <c r="G9" s="38">
        <f t="shared" si="1"/>
        <v>-780000</v>
      </c>
      <c r="H9" s="35">
        <f t="shared" si="1"/>
        <v>20000</v>
      </c>
      <c r="I9" s="35">
        <f t="shared" si="1"/>
        <v>130000</v>
      </c>
      <c r="J9" s="52">
        <f t="shared" si="1"/>
        <v>-180000</v>
      </c>
      <c r="K9" s="35">
        <f t="shared" ref="K9:M9" si="2">K8-J8</f>
        <v>110000</v>
      </c>
      <c r="L9" s="37">
        <f t="shared" si="2"/>
        <v>940000</v>
      </c>
      <c r="M9" s="35">
        <f t="shared" si="2"/>
        <v>-750000</v>
      </c>
    </row>
  </sheetData>
  <mergeCells count="2">
    <mergeCell ref="A1:N1"/>
    <mergeCell ref="A3:N3"/>
  </mergeCells>
  <phoneticPr fontId="4" type="noConversion"/>
  <pageMargins left="0.7" right="0.7" top="0.75" bottom="0.75" header="0.3" footer="0.3"/>
  <pageSetup paperSize="9" scale="5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K17"/>
  <sheetViews>
    <sheetView workbookViewId="0">
      <selection activeCell="F28" sqref="F28"/>
    </sheetView>
  </sheetViews>
  <sheetFormatPr defaultRowHeight="16.5" x14ac:dyDescent="0.3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 x14ac:dyDescent="0.3">
      <c r="A1" s="63" t="s">
        <v>44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17.25" thickBot="1" x14ac:dyDescent="0.35">
      <c r="A2" s="14"/>
      <c r="B2" s="14"/>
      <c r="C2" s="15"/>
      <c r="D2" s="16"/>
      <c r="E2" s="14"/>
      <c r="F2" s="16"/>
      <c r="G2" s="16"/>
      <c r="H2" s="16"/>
      <c r="I2" s="16"/>
      <c r="J2" s="64" t="s">
        <v>19</v>
      </c>
      <c r="K2" s="65"/>
    </row>
    <row r="3" spans="1:11" x14ac:dyDescent="0.3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 x14ac:dyDescent="0.3">
      <c r="A4" s="66" t="s">
        <v>29</v>
      </c>
      <c r="B4" s="21">
        <v>1</v>
      </c>
      <c r="C4" s="44">
        <v>45000</v>
      </c>
      <c r="D4" s="45" t="s">
        <v>39</v>
      </c>
      <c r="E4" s="45" t="s">
        <v>41</v>
      </c>
      <c r="F4" s="46" t="s">
        <v>52</v>
      </c>
      <c r="G4" s="43" t="s">
        <v>40</v>
      </c>
      <c r="H4" s="42" t="s">
        <v>42</v>
      </c>
      <c r="I4" s="45" t="s">
        <v>47</v>
      </c>
      <c r="J4" s="47">
        <v>90000</v>
      </c>
      <c r="K4" s="41"/>
    </row>
    <row r="5" spans="1:11" x14ac:dyDescent="0.3">
      <c r="A5" s="67"/>
      <c r="B5" s="21">
        <v>2</v>
      </c>
      <c r="C5" s="44">
        <v>45001</v>
      </c>
      <c r="D5" s="43" t="s">
        <v>45</v>
      </c>
      <c r="E5" s="45" t="s">
        <v>41</v>
      </c>
      <c r="F5" s="45" t="s">
        <v>54</v>
      </c>
      <c r="G5" s="43" t="s">
        <v>50</v>
      </c>
      <c r="H5" s="42" t="s">
        <v>36</v>
      </c>
      <c r="I5" s="42" t="s">
        <v>48</v>
      </c>
      <c r="J5" s="47">
        <v>100000</v>
      </c>
      <c r="K5" s="41"/>
    </row>
    <row r="6" spans="1:11" x14ac:dyDescent="0.3">
      <c r="A6" s="67"/>
      <c r="B6" s="21">
        <v>3</v>
      </c>
      <c r="C6" s="44">
        <v>45001</v>
      </c>
      <c r="D6" s="43" t="s">
        <v>45</v>
      </c>
      <c r="E6" s="45" t="s">
        <v>41</v>
      </c>
      <c r="F6" s="45" t="s">
        <v>54</v>
      </c>
      <c r="G6" s="43" t="s">
        <v>50</v>
      </c>
      <c r="H6" s="42" t="s">
        <v>36</v>
      </c>
      <c r="I6" s="42" t="s">
        <v>49</v>
      </c>
      <c r="J6" s="47">
        <v>100000</v>
      </c>
      <c r="K6" s="41"/>
    </row>
    <row r="7" spans="1:11" x14ac:dyDescent="0.3">
      <c r="A7" s="67"/>
      <c r="B7" s="21">
        <v>4</v>
      </c>
      <c r="C7" s="44">
        <v>45008</v>
      </c>
      <c r="D7" s="43" t="s">
        <v>39</v>
      </c>
      <c r="E7" s="45" t="s">
        <v>41</v>
      </c>
      <c r="F7" s="43" t="s">
        <v>53</v>
      </c>
      <c r="G7" s="43" t="s">
        <v>51</v>
      </c>
      <c r="H7" s="43" t="s">
        <v>37</v>
      </c>
      <c r="I7" s="43" t="s">
        <v>46</v>
      </c>
      <c r="J7" s="47">
        <v>90000</v>
      </c>
      <c r="K7" s="41"/>
    </row>
    <row r="8" spans="1:11" ht="17.25" thickBot="1" x14ac:dyDescent="0.35">
      <c r="A8" s="68"/>
      <c r="B8" s="69" t="s">
        <v>30</v>
      </c>
      <c r="C8" s="70"/>
      <c r="D8" s="70"/>
      <c r="E8" s="70"/>
      <c r="F8" s="70"/>
      <c r="G8" s="70"/>
      <c r="H8" s="70"/>
      <c r="I8" s="70"/>
      <c r="J8" s="30">
        <f>SUM(J4:J7)</f>
        <v>380000</v>
      </c>
      <c r="K8" s="27"/>
    </row>
    <row r="9" spans="1:11" x14ac:dyDescent="0.3">
      <c r="A9" s="17" t="s">
        <v>20</v>
      </c>
      <c r="B9" s="18" t="s">
        <v>21</v>
      </c>
      <c r="C9" s="19" t="s">
        <v>22</v>
      </c>
      <c r="D9" s="18" t="s">
        <v>23</v>
      </c>
      <c r="E9" s="18" t="s">
        <v>24</v>
      </c>
      <c r="F9" s="18" t="s">
        <v>34</v>
      </c>
      <c r="G9" s="18" t="s">
        <v>38</v>
      </c>
      <c r="H9" s="18" t="s">
        <v>25</v>
      </c>
      <c r="I9" s="18" t="s">
        <v>26</v>
      </c>
      <c r="J9" s="18" t="s">
        <v>27</v>
      </c>
      <c r="K9" s="20" t="s">
        <v>28</v>
      </c>
    </row>
    <row r="10" spans="1:11" x14ac:dyDescent="0.3">
      <c r="A10" s="56" t="s">
        <v>31</v>
      </c>
      <c r="B10" s="22"/>
      <c r="C10" s="32"/>
      <c r="D10" s="43"/>
      <c r="E10" s="43"/>
      <c r="F10" s="43"/>
      <c r="G10" s="43"/>
      <c r="H10" s="42"/>
      <c r="I10" s="42"/>
      <c r="J10" s="34"/>
      <c r="K10" s="27"/>
    </row>
    <row r="11" spans="1:11" x14ac:dyDescent="0.3">
      <c r="A11" s="57"/>
      <c r="B11" s="22"/>
      <c r="C11" s="32"/>
      <c r="D11" s="31"/>
      <c r="E11" s="31"/>
      <c r="F11" s="31"/>
      <c r="G11" s="31"/>
      <c r="H11" s="23"/>
      <c r="I11" s="33"/>
      <c r="J11" s="34"/>
      <c r="K11" s="27"/>
    </row>
    <row r="12" spans="1:11" ht="17.25" thickBot="1" x14ac:dyDescent="0.35">
      <c r="A12" s="58"/>
      <c r="B12" s="59" t="s">
        <v>30</v>
      </c>
      <c r="C12" s="59"/>
      <c r="D12" s="59"/>
      <c r="E12" s="59"/>
      <c r="F12" s="59"/>
      <c r="G12" s="59"/>
      <c r="H12" s="59"/>
      <c r="I12" s="59"/>
      <c r="J12" s="28">
        <f>SUM(J10:J11)</f>
        <v>0</v>
      </c>
      <c r="K12" s="27"/>
    </row>
    <row r="13" spans="1:11" x14ac:dyDescent="0.3">
      <c r="A13" s="17" t="s">
        <v>20</v>
      </c>
      <c r="B13" s="18" t="s">
        <v>21</v>
      </c>
      <c r="C13" s="19" t="s">
        <v>22</v>
      </c>
      <c r="D13" s="18" t="s">
        <v>23</v>
      </c>
      <c r="E13" s="18" t="s">
        <v>24</v>
      </c>
      <c r="F13" s="18" t="s">
        <v>34</v>
      </c>
      <c r="G13" s="18"/>
      <c r="H13" s="18" t="s">
        <v>25</v>
      </c>
      <c r="I13" s="18" t="s">
        <v>26</v>
      </c>
      <c r="J13" s="18" t="s">
        <v>27</v>
      </c>
      <c r="K13" s="20" t="s">
        <v>28</v>
      </c>
    </row>
    <row r="14" spans="1:11" x14ac:dyDescent="0.3">
      <c r="A14" s="56" t="s">
        <v>32</v>
      </c>
      <c r="B14" s="24"/>
      <c r="C14" s="26"/>
      <c r="D14" s="24"/>
      <c r="E14" s="24"/>
      <c r="F14" s="29"/>
      <c r="G14" s="29"/>
      <c r="H14" s="23"/>
      <c r="I14" s="24"/>
      <c r="J14" s="25"/>
      <c r="K14" s="27"/>
    </row>
    <row r="15" spans="1:11" x14ac:dyDescent="0.3">
      <c r="A15" s="57"/>
      <c r="B15" s="24"/>
      <c r="C15" s="26"/>
      <c r="D15" s="24"/>
      <c r="E15" s="24"/>
      <c r="F15" s="29"/>
      <c r="G15" s="29"/>
      <c r="H15" s="23"/>
      <c r="I15" s="24"/>
      <c r="J15" s="25"/>
      <c r="K15" s="27"/>
    </row>
    <row r="16" spans="1:11" x14ac:dyDescent="0.3">
      <c r="A16" s="58"/>
      <c r="B16" s="59" t="s">
        <v>30</v>
      </c>
      <c r="C16" s="59"/>
      <c r="D16" s="59"/>
      <c r="E16" s="59"/>
      <c r="F16" s="59"/>
      <c r="G16" s="59"/>
      <c r="H16" s="59"/>
      <c r="I16" s="59"/>
      <c r="J16" s="28">
        <f>SUM(J14:J15)</f>
        <v>0</v>
      </c>
      <c r="K16" s="27"/>
    </row>
    <row r="17" spans="1:11" ht="17.25" thickBot="1" x14ac:dyDescent="0.35">
      <c r="A17" s="60" t="s">
        <v>33</v>
      </c>
      <c r="B17" s="61"/>
      <c r="C17" s="61"/>
      <c r="D17" s="61"/>
      <c r="E17" s="61"/>
      <c r="F17" s="61"/>
      <c r="G17" s="61"/>
      <c r="H17" s="61"/>
      <c r="I17" s="62"/>
      <c r="J17" s="39">
        <f>SUM(J8,J12,J16)</f>
        <v>380000</v>
      </c>
      <c r="K17" s="40"/>
    </row>
  </sheetData>
  <mergeCells count="9">
    <mergeCell ref="A14:A16"/>
    <mergeCell ref="B16:I16"/>
    <mergeCell ref="A17:I17"/>
    <mergeCell ref="A1:K1"/>
    <mergeCell ref="J2:K2"/>
    <mergeCell ref="A4:A8"/>
    <mergeCell ref="B8:I8"/>
    <mergeCell ref="A10:A12"/>
    <mergeCell ref="B12:I12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K22"/>
  <sheetViews>
    <sheetView workbookViewId="0">
      <selection activeCell="F28" sqref="F28"/>
    </sheetView>
  </sheetViews>
  <sheetFormatPr defaultRowHeight="16.5" x14ac:dyDescent="0.3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 x14ac:dyDescent="0.3">
      <c r="A1" s="63" t="s">
        <v>55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17.25" thickBot="1" x14ac:dyDescent="0.35">
      <c r="A2" s="14"/>
      <c r="B2" s="14"/>
      <c r="C2" s="15"/>
      <c r="D2" s="16"/>
      <c r="E2" s="14"/>
      <c r="F2" s="16"/>
      <c r="G2" s="16"/>
      <c r="H2" s="16"/>
      <c r="I2" s="16"/>
      <c r="J2" s="64" t="s">
        <v>19</v>
      </c>
      <c r="K2" s="65"/>
    </row>
    <row r="3" spans="1:11" x14ac:dyDescent="0.3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 x14ac:dyDescent="0.3">
      <c r="A4" s="66" t="s">
        <v>29</v>
      </c>
      <c r="B4" s="21">
        <v>1</v>
      </c>
      <c r="C4" s="44">
        <v>45019</v>
      </c>
      <c r="D4" s="45" t="s">
        <v>39</v>
      </c>
      <c r="E4" s="45" t="s">
        <v>59</v>
      </c>
      <c r="F4" s="46" t="s">
        <v>60</v>
      </c>
      <c r="G4" s="43" t="s">
        <v>78</v>
      </c>
      <c r="H4" s="42" t="s">
        <v>79</v>
      </c>
      <c r="I4" s="45" t="s">
        <v>69</v>
      </c>
      <c r="J4" s="47">
        <v>90000</v>
      </c>
      <c r="K4" s="41"/>
    </row>
    <row r="5" spans="1:11" x14ac:dyDescent="0.3">
      <c r="A5" s="67"/>
      <c r="B5" s="21">
        <v>2</v>
      </c>
      <c r="C5" s="44">
        <v>45020</v>
      </c>
      <c r="D5" s="43" t="s">
        <v>39</v>
      </c>
      <c r="E5" s="45" t="s">
        <v>59</v>
      </c>
      <c r="F5" s="45" t="s">
        <v>61</v>
      </c>
      <c r="G5" s="43" t="s">
        <v>70</v>
      </c>
      <c r="H5" s="42" t="s">
        <v>79</v>
      </c>
      <c r="I5" s="42" t="s">
        <v>59</v>
      </c>
      <c r="J5" s="47">
        <v>90000</v>
      </c>
      <c r="K5" s="41"/>
    </row>
    <row r="6" spans="1:11" x14ac:dyDescent="0.3">
      <c r="A6" s="67"/>
      <c r="B6" s="21">
        <v>3</v>
      </c>
      <c r="C6" s="44">
        <v>45021</v>
      </c>
      <c r="D6" s="43" t="s">
        <v>39</v>
      </c>
      <c r="E6" s="45" t="s">
        <v>59</v>
      </c>
      <c r="F6" s="45" t="s">
        <v>62</v>
      </c>
      <c r="G6" s="43" t="s">
        <v>71</v>
      </c>
      <c r="H6" s="42" t="s">
        <v>80</v>
      </c>
      <c r="I6" s="42" t="s">
        <v>72</v>
      </c>
      <c r="J6" s="47">
        <v>90000</v>
      </c>
      <c r="K6" s="41"/>
    </row>
    <row r="7" spans="1:11" x14ac:dyDescent="0.3">
      <c r="A7" s="67"/>
      <c r="B7" s="21">
        <v>4</v>
      </c>
      <c r="C7" s="44">
        <v>45026</v>
      </c>
      <c r="D7" s="43" t="s">
        <v>56</v>
      </c>
      <c r="E7" s="45" t="s">
        <v>59</v>
      </c>
      <c r="F7" s="45" t="s">
        <v>63</v>
      </c>
      <c r="G7" s="43" t="s">
        <v>63</v>
      </c>
      <c r="H7" s="42" t="s">
        <v>37</v>
      </c>
      <c r="I7" s="42" t="s">
        <v>73</v>
      </c>
      <c r="J7" s="47">
        <v>100000</v>
      </c>
      <c r="K7" s="41"/>
    </row>
    <row r="8" spans="1:11" x14ac:dyDescent="0.3">
      <c r="A8" s="67"/>
      <c r="B8" s="21">
        <v>5</v>
      </c>
      <c r="C8" s="44">
        <v>45027</v>
      </c>
      <c r="D8" s="43" t="s">
        <v>57</v>
      </c>
      <c r="E8" s="45" t="s">
        <v>59</v>
      </c>
      <c r="F8" s="45" t="s">
        <v>64</v>
      </c>
      <c r="G8" s="43" t="s">
        <v>64</v>
      </c>
      <c r="H8" s="42" t="s">
        <v>81</v>
      </c>
      <c r="I8" s="42" t="s">
        <v>74</v>
      </c>
      <c r="J8" s="47">
        <v>100000</v>
      </c>
      <c r="K8" s="41"/>
    </row>
    <row r="9" spans="1:11" x14ac:dyDescent="0.3">
      <c r="A9" s="67"/>
      <c r="B9" s="21">
        <v>6</v>
      </c>
      <c r="C9" s="44">
        <v>45034</v>
      </c>
      <c r="D9" s="43" t="s">
        <v>56</v>
      </c>
      <c r="E9" s="45" t="s">
        <v>59</v>
      </c>
      <c r="F9" s="45" t="s">
        <v>65</v>
      </c>
      <c r="G9" s="43" t="s">
        <v>82</v>
      </c>
      <c r="H9" s="42" t="s">
        <v>37</v>
      </c>
      <c r="I9" s="42" t="s">
        <v>75</v>
      </c>
      <c r="J9" s="47">
        <v>100000</v>
      </c>
      <c r="K9" s="41"/>
    </row>
    <row r="10" spans="1:11" x14ac:dyDescent="0.3">
      <c r="A10" s="67"/>
      <c r="B10" s="21">
        <v>7</v>
      </c>
      <c r="C10" s="44">
        <v>45035</v>
      </c>
      <c r="D10" s="43" t="s">
        <v>56</v>
      </c>
      <c r="E10" s="45" t="s">
        <v>59</v>
      </c>
      <c r="F10" s="45" t="s">
        <v>66</v>
      </c>
      <c r="G10" s="43" t="s">
        <v>66</v>
      </c>
      <c r="H10" s="42" t="s">
        <v>83</v>
      </c>
      <c r="I10" s="42" t="s">
        <v>76</v>
      </c>
      <c r="J10" s="47">
        <v>100000</v>
      </c>
      <c r="K10" s="41"/>
    </row>
    <row r="11" spans="1:11" x14ac:dyDescent="0.3">
      <c r="A11" s="67"/>
      <c r="B11" s="21">
        <v>8</v>
      </c>
      <c r="C11" s="44">
        <v>45040</v>
      </c>
      <c r="D11" s="43" t="s">
        <v>56</v>
      </c>
      <c r="E11" s="45" t="s">
        <v>59</v>
      </c>
      <c r="F11" s="45" t="s">
        <v>67</v>
      </c>
      <c r="G11" s="43" t="s">
        <v>67</v>
      </c>
      <c r="H11" s="42" t="s">
        <v>37</v>
      </c>
      <c r="I11" s="42" t="s">
        <v>77</v>
      </c>
      <c r="J11" s="47">
        <v>100000</v>
      </c>
      <c r="K11" s="41"/>
    </row>
    <row r="12" spans="1:11" x14ac:dyDescent="0.3">
      <c r="A12" s="67"/>
      <c r="B12" s="21">
        <v>9</v>
      </c>
      <c r="C12" s="44">
        <v>45045</v>
      </c>
      <c r="D12" s="43" t="s">
        <v>58</v>
      </c>
      <c r="E12" s="45" t="s">
        <v>59</v>
      </c>
      <c r="F12" s="43" t="s">
        <v>68</v>
      </c>
      <c r="G12" s="43" t="s">
        <v>84</v>
      </c>
      <c r="H12" s="42" t="s">
        <v>81</v>
      </c>
      <c r="I12" s="43" t="s">
        <v>85</v>
      </c>
      <c r="J12" s="47">
        <v>90000</v>
      </c>
      <c r="K12" s="41"/>
    </row>
    <row r="13" spans="1:11" ht="17.25" thickBot="1" x14ac:dyDescent="0.35">
      <c r="A13" s="68"/>
      <c r="B13" s="69" t="s">
        <v>30</v>
      </c>
      <c r="C13" s="70"/>
      <c r="D13" s="70"/>
      <c r="E13" s="70"/>
      <c r="F13" s="70"/>
      <c r="G13" s="70"/>
      <c r="H13" s="70"/>
      <c r="I13" s="70"/>
      <c r="J13" s="30">
        <f>SUM(J4:J12)</f>
        <v>860000</v>
      </c>
      <c r="K13" s="27"/>
    </row>
    <row r="14" spans="1:11" x14ac:dyDescent="0.3">
      <c r="A14" s="17" t="s">
        <v>20</v>
      </c>
      <c r="B14" s="18" t="s">
        <v>21</v>
      </c>
      <c r="C14" s="19" t="s">
        <v>22</v>
      </c>
      <c r="D14" s="18" t="s">
        <v>23</v>
      </c>
      <c r="E14" s="18" t="s">
        <v>24</v>
      </c>
      <c r="F14" s="18" t="s">
        <v>34</v>
      </c>
      <c r="G14" s="18" t="s">
        <v>38</v>
      </c>
      <c r="H14" s="18" t="s">
        <v>25</v>
      </c>
      <c r="I14" s="18" t="s">
        <v>26</v>
      </c>
      <c r="J14" s="18" t="s">
        <v>27</v>
      </c>
      <c r="K14" s="20" t="s">
        <v>28</v>
      </c>
    </row>
    <row r="15" spans="1:11" x14ac:dyDescent="0.3">
      <c r="A15" s="56" t="s">
        <v>31</v>
      </c>
      <c r="B15" s="22"/>
      <c r="C15" s="32"/>
      <c r="D15" s="43"/>
      <c r="E15" s="43"/>
      <c r="F15" s="43"/>
      <c r="G15" s="43"/>
      <c r="H15" s="42"/>
      <c r="I15" s="42"/>
      <c r="J15" s="34"/>
      <c r="K15" s="27"/>
    </row>
    <row r="16" spans="1:11" x14ac:dyDescent="0.3">
      <c r="A16" s="57"/>
      <c r="B16" s="22"/>
      <c r="C16" s="32"/>
      <c r="D16" s="31"/>
      <c r="E16" s="31"/>
      <c r="F16" s="31"/>
      <c r="G16" s="31"/>
      <c r="H16" s="23"/>
      <c r="I16" s="33"/>
      <c r="J16" s="34"/>
      <c r="K16" s="27"/>
    </row>
    <row r="17" spans="1:11" ht="17.25" thickBot="1" x14ac:dyDescent="0.35">
      <c r="A17" s="58"/>
      <c r="B17" s="59" t="s">
        <v>30</v>
      </c>
      <c r="C17" s="59"/>
      <c r="D17" s="59"/>
      <c r="E17" s="59"/>
      <c r="F17" s="59"/>
      <c r="G17" s="59"/>
      <c r="H17" s="59"/>
      <c r="I17" s="59"/>
      <c r="J17" s="28">
        <f>SUM(J15:J16)</f>
        <v>0</v>
      </c>
      <c r="K17" s="27"/>
    </row>
    <row r="18" spans="1:11" x14ac:dyDescent="0.3">
      <c r="A18" s="17" t="s">
        <v>20</v>
      </c>
      <c r="B18" s="18" t="s">
        <v>21</v>
      </c>
      <c r="C18" s="19" t="s">
        <v>22</v>
      </c>
      <c r="D18" s="18" t="s">
        <v>23</v>
      </c>
      <c r="E18" s="18" t="s">
        <v>24</v>
      </c>
      <c r="F18" s="18" t="s">
        <v>34</v>
      </c>
      <c r="G18" s="18"/>
      <c r="H18" s="18" t="s">
        <v>25</v>
      </c>
      <c r="I18" s="18" t="s">
        <v>26</v>
      </c>
      <c r="J18" s="18" t="s">
        <v>27</v>
      </c>
      <c r="K18" s="20" t="s">
        <v>28</v>
      </c>
    </row>
    <row r="19" spans="1:11" x14ac:dyDescent="0.3">
      <c r="A19" s="56" t="s">
        <v>32</v>
      </c>
      <c r="B19" s="24"/>
      <c r="C19" s="26"/>
      <c r="D19" s="24"/>
      <c r="E19" s="24"/>
      <c r="F19" s="29"/>
      <c r="G19" s="29"/>
      <c r="H19" s="23"/>
      <c r="I19" s="24"/>
      <c r="J19" s="25"/>
      <c r="K19" s="27"/>
    </row>
    <row r="20" spans="1:11" x14ac:dyDescent="0.3">
      <c r="A20" s="57"/>
      <c r="B20" s="24"/>
      <c r="C20" s="26"/>
      <c r="D20" s="24"/>
      <c r="E20" s="24"/>
      <c r="F20" s="29"/>
      <c r="G20" s="29"/>
      <c r="H20" s="23"/>
      <c r="I20" s="24"/>
      <c r="J20" s="25"/>
      <c r="K20" s="27"/>
    </row>
    <row r="21" spans="1:11" x14ac:dyDescent="0.3">
      <c r="A21" s="58"/>
      <c r="B21" s="59" t="s">
        <v>30</v>
      </c>
      <c r="C21" s="59"/>
      <c r="D21" s="59"/>
      <c r="E21" s="59"/>
      <c r="F21" s="59"/>
      <c r="G21" s="59"/>
      <c r="H21" s="59"/>
      <c r="I21" s="59"/>
      <c r="J21" s="28">
        <f>SUM(J19:J20)</f>
        <v>0</v>
      </c>
      <c r="K21" s="27"/>
    </row>
    <row r="22" spans="1:11" ht="17.25" thickBot="1" x14ac:dyDescent="0.35">
      <c r="A22" s="60" t="s">
        <v>33</v>
      </c>
      <c r="B22" s="61"/>
      <c r="C22" s="61"/>
      <c r="D22" s="61"/>
      <c r="E22" s="61"/>
      <c r="F22" s="61"/>
      <c r="G22" s="61"/>
      <c r="H22" s="61"/>
      <c r="I22" s="62"/>
      <c r="J22" s="39">
        <f>SUM(J13,J17,J21)</f>
        <v>860000</v>
      </c>
      <c r="K22" s="40"/>
    </row>
  </sheetData>
  <mergeCells count="9">
    <mergeCell ref="A19:A21"/>
    <mergeCell ref="B21:I21"/>
    <mergeCell ref="A22:I22"/>
    <mergeCell ref="A1:K1"/>
    <mergeCell ref="J2:K2"/>
    <mergeCell ref="A4:A13"/>
    <mergeCell ref="B13:I13"/>
    <mergeCell ref="A15:A17"/>
    <mergeCell ref="B17:I17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K24"/>
  <sheetViews>
    <sheetView workbookViewId="0">
      <selection activeCell="G27" sqref="G27"/>
    </sheetView>
  </sheetViews>
  <sheetFormatPr defaultRowHeight="16.5" x14ac:dyDescent="0.3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 x14ac:dyDescent="0.3">
      <c r="A1" s="63" t="s">
        <v>86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17.25" thickBot="1" x14ac:dyDescent="0.35">
      <c r="A2" s="14"/>
      <c r="B2" s="14"/>
      <c r="C2" s="15"/>
      <c r="D2" s="16"/>
      <c r="E2" s="14"/>
      <c r="F2" s="16"/>
      <c r="G2" s="16"/>
      <c r="H2" s="16"/>
      <c r="I2" s="16"/>
      <c r="J2" s="64" t="s">
        <v>19</v>
      </c>
      <c r="K2" s="65"/>
    </row>
    <row r="3" spans="1:11" x14ac:dyDescent="0.3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 x14ac:dyDescent="0.3">
      <c r="A4" s="66" t="s">
        <v>29</v>
      </c>
      <c r="B4" s="21">
        <v>1</v>
      </c>
      <c r="C4" s="44">
        <v>45054</v>
      </c>
      <c r="D4" s="45" t="s">
        <v>39</v>
      </c>
      <c r="E4" s="49"/>
      <c r="F4" s="46" t="s">
        <v>94</v>
      </c>
      <c r="G4" s="48"/>
      <c r="H4" s="48"/>
      <c r="I4" s="45" t="s">
        <v>95</v>
      </c>
      <c r="J4" s="47">
        <v>90000</v>
      </c>
      <c r="K4" s="41"/>
    </row>
    <row r="5" spans="1:11" x14ac:dyDescent="0.3">
      <c r="A5" s="67"/>
      <c r="B5" s="21">
        <v>2</v>
      </c>
      <c r="C5" s="44">
        <v>45056</v>
      </c>
      <c r="D5" s="45" t="s">
        <v>39</v>
      </c>
      <c r="E5" s="45" t="s">
        <v>59</v>
      </c>
      <c r="F5" s="45" t="s">
        <v>98</v>
      </c>
      <c r="G5" s="43" t="s">
        <v>40</v>
      </c>
      <c r="H5" s="42" t="s">
        <v>97</v>
      </c>
      <c r="I5" s="42" t="s">
        <v>96</v>
      </c>
      <c r="J5" s="47">
        <v>90000</v>
      </c>
      <c r="K5" s="41"/>
    </row>
    <row r="6" spans="1:11" x14ac:dyDescent="0.3">
      <c r="A6" s="67"/>
      <c r="B6" s="21">
        <v>3</v>
      </c>
      <c r="C6" s="44">
        <v>45061</v>
      </c>
      <c r="D6" s="43" t="s">
        <v>57</v>
      </c>
      <c r="E6" s="45" t="s">
        <v>59</v>
      </c>
      <c r="F6" s="45" t="s">
        <v>99</v>
      </c>
      <c r="G6" s="43" t="s">
        <v>99</v>
      </c>
      <c r="H6" s="42" t="s">
        <v>42</v>
      </c>
      <c r="I6" s="42" t="s">
        <v>99</v>
      </c>
      <c r="J6" s="47">
        <v>100000</v>
      </c>
      <c r="K6" s="41"/>
    </row>
    <row r="7" spans="1:11" x14ac:dyDescent="0.3">
      <c r="A7" s="67"/>
      <c r="B7" s="21">
        <v>4</v>
      </c>
      <c r="C7" s="44">
        <v>45061</v>
      </c>
      <c r="D7" s="45" t="s">
        <v>39</v>
      </c>
      <c r="E7" s="45" t="s">
        <v>59</v>
      </c>
      <c r="F7" s="45" t="s">
        <v>102</v>
      </c>
      <c r="G7" s="43" t="s">
        <v>103</v>
      </c>
      <c r="H7" s="42" t="s">
        <v>36</v>
      </c>
      <c r="I7" s="42" t="s">
        <v>104</v>
      </c>
      <c r="J7" s="47">
        <v>90000</v>
      </c>
      <c r="K7" s="41"/>
    </row>
    <row r="8" spans="1:11" x14ac:dyDescent="0.3">
      <c r="A8" s="67"/>
      <c r="B8" s="21">
        <v>5</v>
      </c>
      <c r="C8" s="44">
        <v>45065</v>
      </c>
      <c r="D8" s="45" t="s">
        <v>39</v>
      </c>
      <c r="E8" s="45" t="s">
        <v>59</v>
      </c>
      <c r="F8" s="45" t="s">
        <v>112</v>
      </c>
      <c r="G8" s="48"/>
      <c r="H8" s="48"/>
      <c r="I8" s="42" t="s">
        <v>113</v>
      </c>
      <c r="J8" s="47">
        <v>90000</v>
      </c>
      <c r="K8" s="41"/>
    </row>
    <row r="9" spans="1:11" x14ac:dyDescent="0.3">
      <c r="A9" s="67"/>
      <c r="B9" s="21">
        <v>6</v>
      </c>
      <c r="C9" s="44">
        <v>45069</v>
      </c>
      <c r="D9" s="45" t="s">
        <v>39</v>
      </c>
      <c r="E9" s="45" t="s">
        <v>59</v>
      </c>
      <c r="F9" s="45" t="s">
        <v>115</v>
      </c>
      <c r="G9" s="43" t="s">
        <v>114</v>
      </c>
      <c r="H9" s="42" t="s">
        <v>37</v>
      </c>
      <c r="I9" s="42" t="s">
        <v>116</v>
      </c>
      <c r="J9" s="47">
        <v>90000</v>
      </c>
      <c r="K9" s="41"/>
    </row>
    <row r="10" spans="1:11" x14ac:dyDescent="0.3">
      <c r="A10" s="67"/>
      <c r="B10" s="21">
        <v>7</v>
      </c>
      <c r="C10" s="44">
        <v>45072</v>
      </c>
      <c r="D10" s="43" t="s">
        <v>58</v>
      </c>
      <c r="E10" s="45" t="s">
        <v>41</v>
      </c>
      <c r="F10" s="45" t="s">
        <v>123</v>
      </c>
      <c r="G10" s="42" t="s">
        <v>124</v>
      </c>
      <c r="H10" s="42" t="s">
        <v>122</v>
      </c>
      <c r="I10" s="42" t="s">
        <v>117</v>
      </c>
      <c r="J10" s="47">
        <v>90000</v>
      </c>
      <c r="K10" s="41"/>
    </row>
    <row r="11" spans="1:11" x14ac:dyDescent="0.3">
      <c r="A11" s="67"/>
      <c r="B11" s="21">
        <v>8</v>
      </c>
      <c r="C11" s="44">
        <v>45073</v>
      </c>
      <c r="D11" s="43" t="s">
        <v>39</v>
      </c>
      <c r="E11" s="45" t="s">
        <v>41</v>
      </c>
      <c r="F11" s="43" t="s">
        <v>119</v>
      </c>
      <c r="G11" s="42" t="s">
        <v>121</v>
      </c>
      <c r="H11" s="42" t="s">
        <v>120</v>
      </c>
      <c r="I11" s="43" t="s">
        <v>118</v>
      </c>
      <c r="J11" s="47">
        <v>110000</v>
      </c>
      <c r="K11" s="41"/>
    </row>
    <row r="12" spans="1:11" ht="17.25" thickBot="1" x14ac:dyDescent="0.35">
      <c r="A12" s="68"/>
      <c r="B12" s="69" t="s">
        <v>30</v>
      </c>
      <c r="C12" s="70"/>
      <c r="D12" s="70"/>
      <c r="E12" s="70"/>
      <c r="F12" s="70"/>
      <c r="G12" s="70"/>
      <c r="H12" s="70"/>
      <c r="I12" s="70"/>
      <c r="J12" s="30">
        <f>SUM(J4:J11)</f>
        <v>750000</v>
      </c>
      <c r="K12" s="27"/>
    </row>
    <row r="13" spans="1:11" x14ac:dyDescent="0.3">
      <c r="A13" s="17" t="s">
        <v>20</v>
      </c>
      <c r="B13" s="18" t="s">
        <v>21</v>
      </c>
      <c r="C13" s="19" t="s">
        <v>22</v>
      </c>
      <c r="D13" s="18" t="s">
        <v>23</v>
      </c>
      <c r="E13" s="18" t="s">
        <v>24</v>
      </c>
      <c r="F13" s="18" t="s">
        <v>34</v>
      </c>
      <c r="G13" s="18" t="s">
        <v>38</v>
      </c>
      <c r="H13" s="18" t="s">
        <v>25</v>
      </c>
      <c r="I13" s="18" t="s">
        <v>26</v>
      </c>
      <c r="J13" s="18" t="s">
        <v>27</v>
      </c>
      <c r="K13" s="20" t="s">
        <v>28</v>
      </c>
    </row>
    <row r="14" spans="1:11" x14ac:dyDescent="0.3">
      <c r="A14" s="56" t="s">
        <v>31</v>
      </c>
      <c r="B14" s="22">
        <v>1</v>
      </c>
      <c r="C14" s="32">
        <v>45055</v>
      </c>
      <c r="D14" s="43" t="s">
        <v>91</v>
      </c>
      <c r="E14" s="43" t="s">
        <v>59</v>
      </c>
      <c r="F14" s="43" t="s">
        <v>93</v>
      </c>
      <c r="G14" s="43" t="s">
        <v>40</v>
      </c>
      <c r="H14" s="42" t="s">
        <v>97</v>
      </c>
      <c r="I14" s="42" t="s">
        <v>92</v>
      </c>
      <c r="J14" s="34">
        <v>250000</v>
      </c>
      <c r="K14" s="27"/>
    </row>
    <row r="15" spans="1:11" x14ac:dyDescent="0.3">
      <c r="A15" s="57"/>
      <c r="B15" s="22">
        <v>2</v>
      </c>
      <c r="C15" s="44">
        <v>45058</v>
      </c>
      <c r="D15" s="45" t="s">
        <v>39</v>
      </c>
      <c r="E15" s="45" t="s">
        <v>59</v>
      </c>
      <c r="F15" s="45" t="s">
        <v>101</v>
      </c>
      <c r="G15" s="43" t="s">
        <v>106</v>
      </c>
      <c r="H15" s="42" t="s">
        <v>105</v>
      </c>
      <c r="I15" s="42" t="s">
        <v>100</v>
      </c>
      <c r="J15" s="47">
        <v>90000</v>
      </c>
      <c r="K15" s="27"/>
    </row>
    <row r="16" spans="1:11" x14ac:dyDescent="0.3">
      <c r="A16" s="57"/>
      <c r="B16" s="22">
        <v>3</v>
      </c>
      <c r="C16" s="32">
        <v>45059</v>
      </c>
      <c r="D16" s="43" t="s">
        <v>58</v>
      </c>
      <c r="E16" s="43" t="s">
        <v>59</v>
      </c>
      <c r="F16" s="43" t="s">
        <v>87</v>
      </c>
      <c r="G16" s="43" t="s">
        <v>88</v>
      </c>
      <c r="H16" s="42" t="s">
        <v>89</v>
      </c>
      <c r="I16" s="42" t="s">
        <v>90</v>
      </c>
      <c r="J16" s="34">
        <v>90000</v>
      </c>
      <c r="K16" s="27"/>
    </row>
    <row r="17" spans="1:11" x14ac:dyDescent="0.3">
      <c r="A17" s="57"/>
      <c r="B17" s="22">
        <v>4</v>
      </c>
      <c r="C17" s="32">
        <v>45064</v>
      </c>
      <c r="D17" s="43" t="s">
        <v>58</v>
      </c>
      <c r="E17" s="43" t="s">
        <v>59</v>
      </c>
      <c r="F17" s="43" t="s">
        <v>110</v>
      </c>
      <c r="G17" s="43" t="s">
        <v>88</v>
      </c>
      <c r="H17" s="42" t="s">
        <v>36</v>
      </c>
      <c r="I17" s="42" t="s">
        <v>107</v>
      </c>
      <c r="J17" s="34">
        <v>90000</v>
      </c>
      <c r="K17" s="27"/>
    </row>
    <row r="18" spans="1:11" x14ac:dyDescent="0.3">
      <c r="A18" s="57"/>
      <c r="B18" s="22">
        <v>5</v>
      </c>
      <c r="C18" s="32">
        <v>45065</v>
      </c>
      <c r="D18" s="43" t="s">
        <v>58</v>
      </c>
      <c r="E18" s="43" t="s">
        <v>59</v>
      </c>
      <c r="F18" s="31" t="s">
        <v>111</v>
      </c>
      <c r="G18" s="43" t="s">
        <v>88</v>
      </c>
      <c r="H18" s="23" t="s">
        <v>109</v>
      </c>
      <c r="I18" s="33" t="s">
        <v>108</v>
      </c>
      <c r="J18" s="34">
        <v>100000</v>
      </c>
      <c r="K18" s="27"/>
    </row>
    <row r="19" spans="1:11" ht="17.25" thickBot="1" x14ac:dyDescent="0.35">
      <c r="A19" s="58"/>
      <c r="B19" s="59" t="s">
        <v>30</v>
      </c>
      <c r="C19" s="59"/>
      <c r="D19" s="59"/>
      <c r="E19" s="59"/>
      <c r="F19" s="59"/>
      <c r="G19" s="59"/>
      <c r="H19" s="59"/>
      <c r="I19" s="59"/>
      <c r="J19" s="28">
        <f>SUM(J14:J18)</f>
        <v>620000</v>
      </c>
      <c r="K19" s="27"/>
    </row>
    <row r="20" spans="1:11" x14ac:dyDescent="0.3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/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 x14ac:dyDescent="0.3">
      <c r="A21" s="56" t="s">
        <v>32</v>
      </c>
      <c r="B21" s="24"/>
      <c r="C21" s="26"/>
      <c r="D21" s="24"/>
      <c r="E21" s="24"/>
      <c r="F21" s="29"/>
      <c r="G21" s="29"/>
      <c r="H21" s="23"/>
      <c r="I21" s="24"/>
      <c r="J21" s="25"/>
      <c r="K21" s="27"/>
    </row>
    <row r="22" spans="1:11" x14ac:dyDescent="0.3">
      <c r="A22" s="57"/>
      <c r="B22" s="24"/>
      <c r="C22" s="26"/>
      <c r="D22" s="24"/>
      <c r="E22" s="24"/>
      <c r="F22" s="29"/>
      <c r="G22" s="29"/>
      <c r="H22" s="23"/>
      <c r="I22" s="24"/>
      <c r="J22" s="25"/>
      <c r="K22" s="27"/>
    </row>
    <row r="23" spans="1:11" x14ac:dyDescent="0.3">
      <c r="A23" s="58"/>
      <c r="B23" s="59" t="s">
        <v>30</v>
      </c>
      <c r="C23" s="59"/>
      <c r="D23" s="59"/>
      <c r="E23" s="59"/>
      <c r="F23" s="59"/>
      <c r="G23" s="59"/>
      <c r="H23" s="59"/>
      <c r="I23" s="59"/>
      <c r="J23" s="28">
        <f>SUM(J21:J22)</f>
        <v>0</v>
      </c>
      <c r="K23" s="27"/>
    </row>
    <row r="24" spans="1:11" ht="17.25" thickBot="1" x14ac:dyDescent="0.35">
      <c r="A24" s="60" t="s">
        <v>33</v>
      </c>
      <c r="B24" s="61"/>
      <c r="C24" s="61"/>
      <c r="D24" s="61"/>
      <c r="E24" s="61"/>
      <c r="F24" s="61"/>
      <c r="G24" s="61"/>
      <c r="H24" s="61"/>
      <c r="I24" s="62"/>
      <c r="J24" s="39">
        <f>SUM(J12,J19,J23)</f>
        <v>1370000</v>
      </c>
      <c r="K24" s="40"/>
    </row>
  </sheetData>
  <mergeCells count="9">
    <mergeCell ref="A21:A23"/>
    <mergeCell ref="B23:I23"/>
    <mergeCell ref="A24:I24"/>
    <mergeCell ref="A1:K1"/>
    <mergeCell ref="J2:K2"/>
    <mergeCell ref="A4:A12"/>
    <mergeCell ref="B12:I12"/>
    <mergeCell ref="A14:A19"/>
    <mergeCell ref="B19:I1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K24"/>
  <sheetViews>
    <sheetView workbookViewId="0">
      <selection activeCell="F39" sqref="F39"/>
    </sheetView>
  </sheetViews>
  <sheetFormatPr defaultRowHeight="16.5" x14ac:dyDescent="0.3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 x14ac:dyDescent="0.3">
      <c r="A1" s="63" t="s">
        <v>183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17.25" thickBot="1" x14ac:dyDescent="0.35">
      <c r="A2" s="14"/>
      <c r="B2" s="14"/>
      <c r="C2" s="15"/>
      <c r="D2" s="16"/>
      <c r="E2" s="14"/>
      <c r="F2" s="16"/>
      <c r="G2" s="16"/>
      <c r="H2" s="16"/>
      <c r="I2" s="16"/>
      <c r="J2" s="64" t="s">
        <v>19</v>
      </c>
      <c r="K2" s="65"/>
    </row>
    <row r="3" spans="1:11" x14ac:dyDescent="0.3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 x14ac:dyDescent="0.3">
      <c r="A4" s="66" t="s">
        <v>29</v>
      </c>
      <c r="B4" s="21">
        <v>1</v>
      </c>
      <c r="C4" s="44">
        <v>45087</v>
      </c>
      <c r="D4" s="45" t="s">
        <v>58</v>
      </c>
      <c r="E4" s="50" t="s">
        <v>129</v>
      </c>
      <c r="F4" s="46" t="s">
        <v>130</v>
      </c>
      <c r="G4" s="51" t="s">
        <v>131</v>
      </c>
      <c r="H4" s="51"/>
      <c r="I4" s="45" t="s">
        <v>132</v>
      </c>
      <c r="J4" s="47">
        <v>90000</v>
      </c>
      <c r="K4" s="41"/>
    </row>
    <row r="5" spans="1:11" x14ac:dyDescent="0.3">
      <c r="A5" s="67"/>
      <c r="B5" s="21">
        <v>2</v>
      </c>
      <c r="C5" s="44">
        <v>45094</v>
      </c>
      <c r="D5" s="45" t="s">
        <v>58</v>
      </c>
      <c r="E5" s="45" t="s">
        <v>59</v>
      </c>
      <c r="F5" s="45" t="s">
        <v>133</v>
      </c>
      <c r="G5" s="43" t="s">
        <v>40</v>
      </c>
      <c r="H5" s="42" t="s">
        <v>134</v>
      </c>
      <c r="I5" s="42" t="s">
        <v>137</v>
      </c>
      <c r="J5" s="47">
        <v>130000</v>
      </c>
      <c r="K5" s="41"/>
    </row>
    <row r="6" spans="1:11" x14ac:dyDescent="0.3">
      <c r="A6" s="67"/>
      <c r="B6" s="21">
        <v>3</v>
      </c>
      <c r="C6" s="44">
        <v>45094</v>
      </c>
      <c r="D6" s="43" t="s">
        <v>58</v>
      </c>
      <c r="E6" s="45" t="s">
        <v>59</v>
      </c>
      <c r="F6" s="45" t="s">
        <v>133</v>
      </c>
      <c r="G6" s="43"/>
      <c r="H6" s="42" t="s">
        <v>136</v>
      </c>
      <c r="I6" s="42" t="s">
        <v>138</v>
      </c>
      <c r="J6" s="47">
        <v>90000</v>
      </c>
      <c r="K6" s="41"/>
    </row>
    <row r="7" spans="1:11" x14ac:dyDescent="0.3">
      <c r="A7" s="67"/>
      <c r="B7" s="21">
        <v>4</v>
      </c>
      <c r="C7" s="44">
        <v>45094</v>
      </c>
      <c r="D7" s="45" t="s">
        <v>58</v>
      </c>
      <c r="E7" s="45" t="s">
        <v>59</v>
      </c>
      <c r="F7" s="45" t="s">
        <v>133</v>
      </c>
      <c r="G7" s="43"/>
      <c r="H7" s="42" t="s">
        <v>135</v>
      </c>
      <c r="I7" s="42" t="s">
        <v>137</v>
      </c>
      <c r="J7" s="47">
        <v>90000</v>
      </c>
      <c r="K7" s="41"/>
    </row>
    <row r="8" spans="1:11" x14ac:dyDescent="0.3">
      <c r="A8" s="67"/>
      <c r="B8" s="21">
        <v>5</v>
      </c>
      <c r="C8" s="44">
        <v>45097</v>
      </c>
      <c r="D8" s="45" t="s">
        <v>142</v>
      </c>
      <c r="E8" s="45" t="s">
        <v>59</v>
      </c>
      <c r="F8" s="45" t="s">
        <v>139</v>
      </c>
      <c r="G8" s="51"/>
      <c r="H8" s="51" t="s">
        <v>140</v>
      </c>
      <c r="I8" s="42" t="s">
        <v>141</v>
      </c>
      <c r="J8" s="47">
        <v>100000</v>
      </c>
      <c r="K8" s="41"/>
    </row>
    <row r="9" spans="1:11" x14ac:dyDescent="0.3">
      <c r="A9" s="67"/>
      <c r="B9" s="21">
        <v>6</v>
      </c>
      <c r="C9" s="44"/>
      <c r="D9" s="45"/>
      <c r="E9" s="45"/>
      <c r="F9" s="45"/>
      <c r="G9" s="43"/>
      <c r="H9" s="42"/>
      <c r="I9" s="42"/>
      <c r="J9" s="47"/>
      <c r="K9" s="41"/>
    </row>
    <row r="10" spans="1:11" x14ac:dyDescent="0.3">
      <c r="A10" s="67"/>
      <c r="B10" s="21">
        <v>7</v>
      </c>
      <c r="C10" s="44"/>
      <c r="D10" s="43"/>
      <c r="E10" s="45"/>
      <c r="F10" s="45"/>
      <c r="G10" s="42"/>
      <c r="H10" s="42"/>
      <c r="I10" s="42"/>
      <c r="J10" s="47"/>
      <c r="K10" s="41"/>
    </row>
    <row r="11" spans="1:11" x14ac:dyDescent="0.3">
      <c r="A11" s="67"/>
      <c r="B11" s="21">
        <v>8</v>
      </c>
      <c r="C11" s="44"/>
      <c r="D11" s="43"/>
      <c r="E11" s="45"/>
      <c r="F11" s="43"/>
      <c r="G11" s="42"/>
      <c r="H11" s="42"/>
      <c r="I11" s="43"/>
      <c r="J11" s="47"/>
      <c r="K11" s="41"/>
    </row>
    <row r="12" spans="1:11" ht="17.25" thickBot="1" x14ac:dyDescent="0.35">
      <c r="A12" s="68"/>
      <c r="B12" s="69" t="s">
        <v>30</v>
      </c>
      <c r="C12" s="70"/>
      <c r="D12" s="70"/>
      <c r="E12" s="70"/>
      <c r="F12" s="70"/>
      <c r="G12" s="70"/>
      <c r="H12" s="70"/>
      <c r="I12" s="70"/>
      <c r="J12" s="30">
        <f>SUM(J4:J11)</f>
        <v>500000</v>
      </c>
      <c r="K12" s="27"/>
    </row>
    <row r="13" spans="1:11" x14ac:dyDescent="0.3">
      <c r="A13" s="17" t="s">
        <v>20</v>
      </c>
      <c r="B13" s="18" t="s">
        <v>21</v>
      </c>
      <c r="C13" s="19" t="s">
        <v>22</v>
      </c>
      <c r="D13" s="18" t="s">
        <v>23</v>
      </c>
      <c r="E13" s="18" t="s">
        <v>24</v>
      </c>
      <c r="F13" s="18" t="s">
        <v>34</v>
      </c>
      <c r="G13" s="18" t="s">
        <v>38</v>
      </c>
      <c r="H13" s="18" t="s">
        <v>25</v>
      </c>
      <c r="I13" s="18" t="s">
        <v>26</v>
      </c>
      <c r="J13" s="18" t="s">
        <v>27</v>
      </c>
      <c r="K13" s="20" t="s">
        <v>28</v>
      </c>
    </row>
    <row r="14" spans="1:11" x14ac:dyDescent="0.3">
      <c r="A14" s="56" t="s">
        <v>31</v>
      </c>
      <c r="B14" s="22">
        <v>1</v>
      </c>
      <c r="C14" s="32">
        <v>45087</v>
      </c>
      <c r="D14" s="43" t="s">
        <v>125</v>
      </c>
      <c r="E14" s="43" t="s">
        <v>59</v>
      </c>
      <c r="F14" s="43" t="s">
        <v>126</v>
      </c>
      <c r="G14" s="43" t="s">
        <v>88</v>
      </c>
      <c r="H14" s="42" t="s">
        <v>127</v>
      </c>
      <c r="I14" s="42" t="s">
        <v>128</v>
      </c>
      <c r="J14" s="34">
        <v>90000</v>
      </c>
      <c r="K14" s="27"/>
    </row>
    <row r="15" spans="1:11" x14ac:dyDescent="0.3">
      <c r="A15" s="57"/>
      <c r="B15" s="22">
        <v>2</v>
      </c>
      <c r="C15" s="44"/>
      <c r="D15" s="45"/>
      <c r="E15" s="45"/>
      <c r="F15" s="45"/>
      <c r="G15" s="43"/>
      <c r="H15" s="42"/>
      <c r="I15" s="42"/>
      <c r="J15" s="47"/>
      <c r="K15" s="27"/>
    </row>
    <row r="16" spans="1:11" x14ac:dyDescent="0.3">
      <c r="A16" s="57"/>
      <c r="B16" s="22">
        <v>3</v>
      </c>
      <c r="C16" s="32"/>
      <c r="D16" s="43"/>
      <c r="E16" s="43"/>
      <c r="F16" s="43"/>
      <c r="G16" s="43"/>
      <c r="H16" s="42"/>
      <c r="I16" s="42"/>
      <c r="J16" s="34"/>
      <c r="K16" s="27"/>
    </row>
    <row r="17" spans="1:11" x14ac:dyDescent="0.3">
      <c r="A17" s="57"/>
      <c r="B17" s="22">
        <v>4</v>
      </c>
      <c r="C17" s="32"/>
      <c r="D17" s="43"/>
      <c r="E17" s="43"/>
      <c r="F17" s="43"/>
      <c r="G17" s="43"/>
      <c r="H17" s="42"/>
      <c r="I17" s="42"/>
      <c r="J17" s="34"/>
      <c r="K17" s="27"/>
    </row>
    <row r="18" spans="1:11" x14ac:dyDescent="0.3">
      <c r="A18" s="57"/>
      <c r="B18" s="22">
        <v>5</v>
      </c>
      <c r="C18" s="32"/>
      <c r="D18" s="43"/>
      <c r="E18" s="43"/>
      <c r="F18" s="31"/>
      <c r="G18" s="43"/>
      <c r="H18" s="23"/>
      <c r="I18" s="33"/>
      <c r="J18" s="34"/>
      <c r="K18" s="27"/>
    </row>
    <row r="19" spans="1:11" ht="17.25" thickBot="1" x14ac:dyDescent="0.35">
      <c r="A19" s="58"/>
      <c r="B19" s="59" t="s">
        <v>30</v>
      </c>
      <c r="C19" s="59"/>
      <c r="D19" s="59"/>
      <c r="E19" s="59"/>
      <c r="F19" s="59"/>
      <c r="G19" s="59"/>
      <c r="H19" s="59"/>
      <c r="I19" s="59"/>
      <c r="J19" s="28">
        <f>SUM(J14:J18)</f>
        <v>90000</v>
      </c>
      <c r="K19" s="27"/>
    </row>
    <row r="20" spans="1:11" x14ac:dyDescent="0.3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/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 x14ac:dyDescent="0.3">
      <c r="A21" s="56" t="s">
        <v>32</v>
      </c>
      <c r="B21" s="24"/>
      <c r="C21" s="26"/>
      <c r="D21" s="24"/>
      <c r="E21" s="24"/>
      <c r="F21" s="29"/>
      <c r="G21" s="29"/>
      <c r="H21" s="23"/>
      <c r="I21" s="24"/>
      <c r="J21" s="25"/>
      <c r="K21" s="27"/>
    </row>
    <row r="22" spans="1:11" x14ac:dyDescent="0.3">
      <c r="A22" s="57"/>
      <c r="B22" s="24"/>
      <c r="C22" s="26"/>
      <c r="D22" s="24"/>
      <c r="E22" s="24"/>
      <c r="F22" s="29"/>
      <c r="G22" s="29"/>
      <c r="H22" s="23"/>
      <c r="I22" s="24"/>
      <c r="J22" s="25"/>
      <c r="K22" s="27"/>
    </row>
    <row r="23" spans="1:11" x14ac:dyDescent="0.3">
      <c r="A23" s="58"/>
      <c r="B23" s="59" t="s">
        <v>30</v>
      </c>
      <c r="C23" s="59"/>
      <c r="D23" s="59"/>
      <c r="E23" s="59"/>
      <c r="F23" s="59"/>
      <c r="G23" s="59"/>
      <c r="H23" s="59"/>
      <c r="I23" s="59"/>
      <c r="J23" s="28">
        <f>SUM(J21:J22)</f>
        <v>0</v>
      </c>
      <c r="K23" s="27"/>
    </row>
    <row r="24" spans="1:11" ht="17.25" thickBot="1" x14ac:dyDescent="0.35">
      <c r="A24" s="60" t="s">
        <v>33</v>
      </c>
      <c r="B24" s="61"/>
      <c r="C24" s="61"/>
      <c r="D24" s="61"/>
      <c r="E24" s="61"/>
      <c r="F24" s="61"/>
      <c r="G24" s="61"/>
      <c r="H24" s="61"/>
      <c r="I24" s="62"/>
      <c r="J24" s="39">
        <f>SUM(J12,J19,J23)</f>
        <v>590000</v>
      </c>
      <c r="K24" s="40"/>
    </row>
  </sheetData>
  <mergeCells count="9">
    <mergeCell ref="A21:A23"/>
    <mergeCell ref="B23:I23"/>
    <mergeCell ref="A24:I24"/>
    <mergeCell ref="A1:K1"/>
    <mergeCell ref="J2:K2"/>
    <mergeCell ref="A4:A12"/>
    <mergeCell ref="B12:I12"/>
    <mergeCell ref="A14:A19"/>
    <mergeCell ref="B19:I1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K24"/>
  <sheetViews>
    <sheetView workbookViewId="0">
      <selection activeCell="F39" sqref="F39"/>
    </sheetView>
  </sheetViews>
  <sheetFormatPr defaultRowHeight="16.5" x14ac:dyDescent="0.3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 x14ac:dyDescent="0.3">
      <c r="A1" s="63" t="s">
        <v>182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17.25" thickBot="1" x14ac:dyDescent="0.35">
      <c r="A2" s="14"/>
      <c r="B2" s="14"/>
      <c r="C2" s="15"/>
      <c r="D2" s="16"/>
      <c r="E2" s="14"/>
      <c r="F2" s="16"/>
      <c r="G2" s="16"/>
      <c r="H2" s="16"/>
      <c r="I2" s="16"/>
      <c r="J2" s="64" t="s">
        <v>19</v>
      </c>
      <c r="K2" s="65"/>
    </row>
    <row r="3" spans="1:11" x14ac:dyDescent="0.3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 x14ac:dyDescent="0.3">
      <c r="A4" s="66" t="s">
        <v>29</v>
      </c>
      <c r="B4" s="21">
        <v>1</v>
      </c>
      <c r="C4" s="44">
        <v>45110</v>
      </c>
      <c r="D4" s="45" t="s">
        <v>146</v>
      </c>
      <c r="E4" s="45" t="s">
        <v>41</v>
      </c>
      <c r="F4" s="45" t="s">
        <v>145</v>
      </c>
      <c r="G4" s="43" t="s">
        <v>147</v>
      </c>
      <c r="H4" s="42" t="s">
        <v>143</v>
      </c>
      <c r="I4" s="42" t="s">
        <v>144</v>
      </c>
      <c r="J4" s="47">
        <v>100000</v>
      </c>
      <c r="K4" s="41"/>
    </row>
    <row r="5" spans="1:11" x14ac:dyDescent="0.3">
      <c r="A5" s="67"/>
      <c r="B5" s="21">
        <v>2</v>
      </c>
      <c r="C5" s="44">
        <v>45111</v>
      </c>
      <c r="D5" s="45" t="s">
        <v>150</v>
      </c>
      <c r="E5" s="45" t="s">
        <v>59</v>
      </c>
      <c r="F5" s="45" t="s">
        <v>151</v>
      </c>
      <c r="G5" s="43" t="s">
        <v>152</v>
      </c>
      <c r="H5" s="42" t="s">
        <v>153</v>
      </c>
      <c r="I5" s="42" t="s">
        <v>154</v>
      </c>
      <c r="J5" s="47">
        <v>100000</v>
      </c>
      <c r="K5" s="41"/>
    </row>
    <row r="6" spans="1:11" x14ac:dyDescent="0.3">
      <c r="A6" s="67"/>
      <c r="B6" s="21">
        <v>3</v>
      </c>
      <c r="C6" s="44">
        <v>45112</v>
      </c>
      <c r="D6" s="43" t="s">
        <v>146</v>
      </c>
      <c r="E6" s="45" t="s">
        <v>59</v>
      </c>
      <c r="F6" s="45" t="s">
        <v>158</v>
      </c>
      <c r="G6" s="43" t="s">
        <v>155</v>
      </c>
      <c r="H6" s="42" t="s">
        <v>156</v>
      </c>
      <c r="I6" s="42" t="s">
        <v>157</v>
      </c>
      <c r="J6" s="47">
        <v>100000</v>
      </c>
      <c r="K6" s="41"/>
    </row>
    <row r="7" spans="1:11" x14ac:dyDescent="0.3">
      <c r="A7" s="67"/>
      <c r="B7" s="21">
        <v>4</v>
      </c>
      <c r="C7" s="44">
        <v>45115</v>
      </c>
      <c r="D7" s="45" t="s">
        <v>159</v>
      </c>
      <c r="E7" s="45" t="s">
        <v>59</v>
      </c>
      <c r="F7" s="45" t="s">
        <v>162</v>
      </c>
      <c r="G7" s="43"/>
      <c r="H7" s="42" t="s">
        <v>160</v>
      </c>
      <c r="I7" s="42" t="s">
        <v>161</v>
      </c>
      <c r="J7" s="47">
        <v>130000</v>
      </c>
      <c r="K7" s="41"/>
    </row>
    <row r="8" spans="1:11" x14ac:dyDescent="0.3">
      <c r="A8" s="67"/>
      <c r="B8" s="21">
        <v>5</v>
      </c>
      <c r="C8" s="44">
        <v>45124</v>
      </c>
      <c r="D8" s="45" t="s">
        <v>163</v>
      </c>
      <c r="E8" s="45" t="s">
        <v>41</v>
      </c>
      <c r="F8" s="45" t="s">
        <v>164</v>
      </c>
      <c r="G8" s="51"/>
      <c r="H8" s="51"/>
      <c r="I8" s="42" t="s">
        <v>165</v>
      </c>
      <c r="J8" s="47">
        <v>90000</v>
      </c>
      <c r="K8" s="41"/>
    </row>
    <row r="9" spans="1:11" x14ac:dyDescent="0.3">
      <c r="A9" s="67"/>
      <c r="B9" s="21">
        <v>6</v>
      </c>
      <c r="C9" s="44"/>
      <c r="D9" s="45"/>
      <c r="E9" s="45"/>
      <c r="F9" s="45"/>
      <c r="G9" s="43"/>
      <c r="H9" s="42"/>
      <c r="I9" s="42"/>
      <c r="J9" s="47"/>
      <c r="K9" s="41"/>
    </row>
    <row r="10" spans="1:11" x14ac:dyDescent="0.3">
      <c r="A10" s="67"/>
      <c r="B10" s="21">
        <v>7</v>
      </c>
      <c r="C10" s="44"/>
      <c r="D10" s="43"/>
      <c r="E10" s="45"/>
      <c r="F10" s="45"/>
      <c r="G10" s="42"/>
      <c r="H10" s="42"/>
      <c r="I10" s="42"/>
      <c r="J10" s="47"/>
      <c r="K10" s="41"/>
    </row>
    <row r="11" spans="1:11" x14ac:dyDescent="0.3">
      <c r="A11" s="67"/>
      <c r="B11" s="21">
        <v>8</v>
      </c>
      <c r="C11" s="44"/>
      <c r="D11" s="43"/>
      <c r="E11" s="45"/>
      <c r="F11" s="43"/>
      <c r="G11" s="42"/>
      <c r="H11" s="42"/>
      <c r="I11" s="43"/>
      <c r="J11" s="47"/>
      <c r="K11" s="41"/>
    </row>
    <row r="12" spans="1:11" ht="17.25" thickBot="1" x14ac:dyDescent="0.35">
      <c r="A12" s="68"/>
      <c r="B12" s="69" t="s">
        <v>30</v>
      </c>
      <c r="C12" s="70"/>
      <c r="D12" s="70"/>
      <c r="E12" s="70"/>
      <c r="F12" s="70"/>
      <c r="G12" s="70"/>
      <c r="H12" s="70"/>
      <c r="I12" s="70"/>
      <c r="J12" s="30">
        <f>SUM(J4:J11)</f>
        <v>520000</v>
      </c>
      <c r="K12" s="27"/>
    </row>
    <row r="13" spans="1:11" x14ac:dyDescent="0.3">
      <c r="A13" s="17" t="s">
        <v>20</v>
      </c>
      <c r="B13" s="18" t="s">
        <v>21</v>
      </c>
      <c r="C13" s="19" t="s">
        <v>22</v>
      </c>
      <c r="D13" s="18" t="s">
        <v>23</v>
      </c>
      <c r="E13" s="18" t="s">
        <v>24</v>
      </c>
      <c r="F13" s="18" t="s">
        <v>34</v>
      </c>
      <c r="G13" s="18" t="s">
        <v>38</v>
      </c>
      <c r="H13" s="18" t="s">
        <v>25</v>
      </c>
      <c r="I13" s="18" t="s">
        <v>26</v>
      </c>
      <c r="J13" s="18" t="s">
        <v>27</v>
      </c>
      <c r="K13" s="20" t="s">
        <v>28</v>
      </c>
    </row>
    <row r="14" spans="1:11" x14ac:dyDescent="0.3">
      <c r="A14" s="56" t="s">
        <v>31</v>
      </c>
      <c r="B14" s="22">
        <v>1</v>
      </c>
      <c r="C14" s="32">
        <v>45115</v>
      </c>
      <c r="D14" s="43" t="s">
        <v>58</v>
      </c>
      <c r="E14" s="43" t="s">
        <v>59</v>
      </c>
      <c r="F14" s="43" t="s">
        <v>148</v>
      </c>
      <c r="G14" s="43" t="s">
        <v>88</v>
      </c>
      <c r="H14" s="42" t="s">
        <v>36</v>
      </c>
      <c r="I14" s="42" t="s">
        <v>149</v>
      </c>
      <c r="J14" s="34">
        <v>90000</v>
      </c>
      <c r="K14" s="27"/>
    </row>
    <row r="15" spans="1:11" x14ac:dyDescent="0.3">
      <c r="A15" s="57"/>
      <c r="B15" s="22">
        <v>2</v>
      </c>
      <c r="C15" s="44"/>
      <c r="D15" s="45"/>
      <c r="E15" s="45"/>
      <c r="F15" s="45"/>
      <c r="G15" s="43"/>
      <c r="H15" s="42"/>
      <c r="I15" s="42"/>
      <c r="J15" s="47"/>
      <c r="K15" s="27"/>
    </row>
    <row r="16" spans="1:11" x14ac:dyDescent="0.3">
      <c r="A16" s="57"/>
      <c r="B16" s="22">
        <v>3</v>
      </c>
      <c r="C16" s="32"/>
      <c r="D16" s="43"/>
      <c r="E16" s="43"/>
      <c r="F16" s="43"/>
      <c r="G16" s="43"/>
      <c r="H16" s="42"/>
      <c r="I16" s="42"/>
      <c r="J16" s="34"/>
      <c r="K16" s="27"/>
    </row>
    <row r="17" spans="1:11" x14ac:dyDescent="0.3">
      <c r="A17" s="57"/>
      <c r="B17" s="22">
        <v>4</v>
      </c>
      <c r="C17" s="32"/>
      <c r="D17" s="43"/>
      <c r="E17" s="43"/>
      <c r="F17" s="43"/>
      <c r="G17" s="43"/>
      <c r="H17" s="42"/>
      <c r="I17" s="42"/>
      <c r="J17" s="34"/>
      <c r="K17" s="27"/>
    </row>
    <row r="18" spans="1:11" x14ac:dyDescent="0.3">
      <c r="A18" s="57"/>
      <c r="B18" s="22">
        <v>5</v>
      </c>
      <c r="C18" s="32"/>
      <c r="D18" s="43"/>
      <c r="E18" s="43"/>
      <c r="F18" s="31"/>
      <c r="G18" s="43"/>
      <c r="H18" s="23"/>
      <c r="I18" s="33"/>
      <c r="J18" s="34"/>
      <c r="K18" s="27"/>
    </row>
    <row r="19" spans="1:11" ht="17.25" thickBot="1" x14ac:dyDescent="0.35">
      <c r="A19" s="58"/>
      <c r="B19" s="59" t="s">
        <v>30</v>
      </c>
      <c r="C19" s="59"/>
      <c r="D19" s="59"/>
      <c r="E19" s="59"/>
      <c r="F19" s="59"/>
      <c r="G19" s="59"/>
      <c r="H19" s="59"/>
      <c r="I19" s="59"/>
      <c r="J19" s="28">
        <f>SUM(J14:J18)</f>
        <v>90000</v>
      </c>
      <c r="K19" s="27"/>
    </row>
    <row r="20" spans="1:11" x14ac:dyDescent="0.3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/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 x14ac:dyDescent="0.3">
      <c r="A21" s="56" t="s">
        <v>32</v>
      </c>
      <c r="B21" s="24"/>
      <c r="C21" s="26"/>
      <c r="D21" s="24"/>
      <c r="E21" s="24"/>
      <c r="F21" s="29"/>
      <c r="G21" s="29"/>
      <c r="H21" s="23"/>
      <c r="I21" s="24"/>
      <c r="J21" s="25"/>
      <c r="K21" s="27"/>
    </row>
    <row r="22" spans="1:11" x14ac:dyDescent="0.3">
      <c r="A22" s="57"/>
      <c r="B22" s="24"/>
      <c r="C22" s="26"/>
      <c r="D22" s="24"/>
      <c r="E22" s="24"/>
      <c r="F22" s="29"/>
      <c r="G22" s="29"/>
      <c r="H22" s="23"/>
      <c r="I22" s="24"/>
      <c r="J22" s="25"/>
      <c r="K22" s="27"/>
    </row>
    <row r="23" spans="1:11" x14ac:dyDescent="0.3">
      <c r="A23" s="58"/>
      <c r="B23" s="59" t="s">
        <v>30</v>
      </c>
      <c r="C23" s="59"/>
      <c r="D23" s="59"/>
      <c r="E23" s="59"/>
      <c r="F23" s="59"/>
      <c r="G23" s="59"/>
      <c r="H23" s="59"/>
      <c r="I23" s="59"/>
      <c r="J23" s="28">
        <f>SUM(J21:J22)</f>
        <v>0</v>
      </c>
      <c r="K23" s="27"/>
    </row>
    <row r="24" spans="1:11" ht="17.25" thickBot="1" x14ac:dyDescent="0.35">
      <c r="A24" s="60" t="s">
        <v>33</v>
      </c>
      <c r="B24" s="61"/>
      <c r="C24" s="61"/>
      <c r="D24" s="61"/>
      <c r="E24" s="61"/>
      <c r="F24" s="61"/>
      <c r="G24" s="61"/>
      <c r="H24" s="61"/>
      <c r="I24" s="62"/>
      <c r="J24" s="39">
        <f>SUM(J12,J19,J23)</f>
        <v>610000</v>
      </c>
      <c r="K24" s="40"/>
    </row>
  </sheetData>
  <mergeCells count="9">
    <mergeCell ref="A21:A23"/>
    <mergeCell ref="B23:I23"/>
    <mergeCell ref="A24:I24"/>
    <mergeCell ref="A1:K1"/>
    <mergeCell ref="J2:K2"/>
    <mergeCell ref="A4:A12"/>
    <mergeCell ref="B12:I12"/>
    <mergeCell ref="A14:A19"/>
    <mergeCell ref="B19:I1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24"/>
  <sheetViews>
    <sheetView workbookViewId="0">
      <selection activeCell="F11" sqref="F11"/>
    </sheetView>
  </sheetViews>
  <sheetFormatPr defaultRowHeight="16.5" x14ac:dyDescent="0.3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 x14ac:dyDescent="0.3">
      <c r="A1" s="63" t="s">
        <v>181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17.25" thickBot="1" x14ac:dyDescent="0.35">
      <c r="A2" s="14"/>
      <c r="B2" s="14"/>
      <c r="C2" s="15"/>
      <c r="D2" s="16"/>
      <c r="E2" s="14"/>
      <c r="F2" s="16"/>
      <c r="G2" s="16"/>
      <c r="H2" s="16"/>
      <c r="I2" s="16"/>
      <c r="J2" s="64" t="s">
        <v>19</v>
      </c>
      <c r="K2" s="65"/>
    </row>
    <row r="3" spans="1:11" x14ac:dyDescent="0.3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 x14ac:dyDescent="0.3">
      <c r="A4" s="66" t="s">
        <v>29</v>
      </c>
      <c r="B4" s="21">
        <v>1</v>
      </c>
      <c r="C4" s="44">
        <v>45139</v>
      </c>
      <c r="D4" s="45" t="s">
        <v>166</v>
      </c>
      <c r="E4" s="45" t="s">
        <v>41</v>
      </c>
      <c r="F4" s="45" t="s">
        <v>167</v>
      </c>
      <c r="G4" s="43" t="s">
        <v>168</v>
      </c>
      <c r="H4" s="42"/>
      <c r="I4" s="42" t="s">
        <v>169</v>
      </c>
      <c r="J4" s="47">
        <v>100000</v>
      </c>
      <c r="K4" s="41"/>
    </row>
    <row r="5" spans="1:11" x14ac:dyDescent="0.3">
      <c r="A5" s="67"/>
      <c r="B5" s="21">
        <v>2</v>
      </c>
      <c r="C5" s="44">
        <v>45140</v>
      </c>
      <c r="D5" s="45" t="s">
        <v>173</v>
      </c>
      <c r="E5" s="45" t="s">
        <v>59</v>
      </c>
      <c r="F5" s="45" t="s">
        <v>172</v>
      </c>
      <c r="G5" s="43" t="s">
        <v>170</v>
      </c>
      <c r="H5" s="42" t="s">
        <v>179</v>
      </c>
      <c r="I5" s="42" t="s">
        <v>171</v>
      </c>
      <c r="J5" s="47">
        <v>100000</v>
      </c>
      <c r="K5" s="41"/>
    </row>
    <row r="6" spans="1:11" x14ac:dyDescent="0.3">
      <c r="A6" s="67"/>
      <c r="B6" s="21">
        <v>3</v>
      </c>
      <c r="C6" s="44">
        <v>45144</v>
      </c>
      <c r="D6" s="43" t="s">
        <v>159</v>
      </c>
      <c r="E6" s="45" t="s">
        <v>175</v>
      </c>
      <c r="F6" s="45" t="s">
        <v>185</v>
      </c>
      <c r="G6" s="43"/>
      <c r="H6" s="42"/>
      <c r="I6" s="42" t="s">
        <v>174</v>
      </c>
      <c r="J6" s="47">
        <v>90000</v>
      </c>
      <c r="K6" s="41"/>
    </row>
    <row r="7" spans="1:11" x14ac:dyDescent="0.3">
      <c r="A7" s="67"/>
      <c r="B7" s="21">
        <v>4</v>
      </c>
      <c r="C7" s="44">
        <v>45145</v>
      </c>
      <c r="D7" s="45" t="s">
        <v>159</v>
      </c>
      <c r="E7" s="45" t="s">
        <v>59</v>
      </c>
      <c r="F7" s="45" t="s">
        <v>176</v>
      </c>
      <c r="G7" s="43" t="s">
        <v>177</v>
      </c>
      <c r="H7" s="42" t="s">
        <v>179</v>
      </c>
      <c r="I7" s="42" t="s">
        <v>178</v>
      </c>
      <c r="J7" s="47">
        <v>90000</v>
      </c>
      <c r="K7" s="41"/>
    </row>
    <row r="8" spans="1:11" x14ac:dyDescent="0.3">
      <c r="A8" s="67"/>
      <c r="B8" s="21">
        <v>5</v>
      </c>
      <c r="C8" s="44">
        <v>45158</v>
      </c>
      <c r="D8" s="45" t="s">
        <v>159</v>
      </c>
      <c r="E8" s="45" t="s">
        <v>41</v>
      </c>
      <c r="F8" s="45" t="s">
        <v>184</v>
      </c>
      <c r="G8" s="51"/>
      <c r="H8" s="51"/>
      <c r="I8" s="42" t="s">
        <v>180</v>
      </c>
      <c r="J8" s="47">
        <v>90000</v>
      </c>
      <c r="K8" s="41"/>
    </row>
    <row r="9" spans="1:11" x14ac:dyDescent="0.3">
      <c r="A9" s="67"/>
      <c r="B9" s="21">
        <v>6</v>
      </c>
      <c r="C9" s="44">
        <v>45160</v>
      </c>
      <c r="D9" s="45" t="s">
        <v>159</v>
      </c>
      <c r="E9" s="45" t="s">
        <v>192</v>
      </c>
      <c r="F9" s="45" t="s">
        <v>191</v>
      </c>
      <c r="G9" s="51"/>
      <c r="H9" s="51"/>
      <c r="I9" s="42" t="s">
        <v>190</v>
      </c>
      <c r="J9" s="47">
        <v>90000</v>
      </c>
      <c r="K9" s="41"/>
    </row>
    <row r="10" spans="1:11" x14ac:dyDescent="0.3">
      <c r="A10" s="67"/>
      <c r="B10" s="21">
        <v>7</v>
      </c>
      <c r="C10" s="44">
        <v>45164</v>
      </c>
      <c r="D10" s="45" t="s">
        <v>159</v>
      </c>
      <c r="E10" s="45" t="s">
        <v>41</v>
      </c>
      <c r="F10" s="45" t="s">
        <v>186</v>
      </c>
      <c r="G10" s="43"/>
      <c r="H10" s="42"/>
      <c r="I10" s="42" t="s">
        <v>187</v>
      </c>
      <c r="J10" s="47">
        <v>90000</v>
      </c>
      <c r="K10" s="41"/>
    </row>
    <row r="11" spans="1:11" x14ac:dyDescent="0.3">
      <c r="A11" s="67"/>
      <c r="B11" s="21">
        <v>8</v>
      </c>
      <c r="C11" s="44">
        <v>45165</v>
      </c>
      <c r="D11" s="43" t="s">
        <v>159</v>
      </c>
      <c r="E11" s="45" t="s">
        <v>41</v>
      </c>
      <c r="F11" s="45" t="s">
        <v>188</v>
      </c>
      <c r="G11" s="42"/>
      <c r="H11" s="42"/>
      <c r="I11" s="42" t="s">
        <v>189</v>
      </c>
      <c r="J11" s="47">
        <v>90000</v>
      </c>
      <c r="K11" s="41"/>
    </row>
    <row r="12" spans="1:11" ht="17.25" thickBot="1" x14ac:dyDescent="0.35">
      <c r="A12" s="68"/>
      <c r="B12" s="69" t="s">
        <v>30</v>
      </c>
      <c r="C12" s="70"/>
      <c r="D12" s="70"/>
      <c r="E12" s="70"/>
      <c r="F12" s="70"/>
      <c r="G12" s="70"/>
      <c r="H12" s="70"/>
      <c r="I12" s="70"/>
      <c r="J12" s="30">
        <f>SUM(J4:J11)</f>
        <v>740000</v>
      </c>
      <c r="K12" s="27"/>
    </row>
    <row r="13" spans="1:11" x14ac:dyDescent="0.3">
      <c r="A13" s="17" t="s">
        <v>20</v>
      </c>
      <c r="B13" s="18" t="s">
        <v>21</v>
      </c>
      <c r="C13" s="19" t="s">
        <v>22</v>
      </c>
      <c r="D13" s="18" t="s">
        <v>23</v>
      </c>
      <c r="E13" s="18" t="s">
        <v>24</v>
      </c>
      <c r="F13" s="18" t="s">
        <v>34</v>
      </c>
      <c r="G13" s="18" t="s">
        <v>38</v>
      </c>
      <c r="H13" s="18" t="s">
        <v>25</v>
      </c>
      <c r="I13" s="18" t="s">
        <v>26</v>
      </c>
      <c r="J13" s="18" t="s">
        <v>27</v>
      </c>
      <c r="K13" s="20" t="s">
        <v>28</v>
      </c>
    </row>
    <row r="14" spans="1:11" x14ac:dyDescent="0.3">
      <c r="A14" s="56" t="s">
        <v>31</v>
      </c>
      <c r="B14" s="22">
        <v>1</v>
      </c>
      <c r="C14" s="32"/>
      <c r="D14" s="43"/>
      <c r="E14" s="43"/>
      <c r="F14" s="43"/>
      <c r="G14" s="43"/>
      <c r="H14" s="42"/>
      <c r="I14" s="42"/>
      <c r="J14" s="34"/>
      <c r="K14" s="27"/>
    </row>
    <row r="15" spans="1:11" x14ac:dyDescent="0.3">
      <c r="A15" s="57"/>
      <c r="B15" s="22">
        <v>2</v>
      </c>
      <c r="C15" s="44"/>
      <c r="D15" s="45"/>
      <c r="E15" s="45"/>
      <c r="F15" s="45"/>
      <c r="G15" s="43"/>
      <c r="H15" s="42"/>
      <c r="I15" s="42"/>
      <c r="J15" s="47"/>
      <c r="K15" s="27"/>
    </row>
    <row r="16" spans="1:11" x14ac:dyDescent="0.3">
      <c r="A16" s="57"/>
      <c r="B16" s="22">
        <v>3</v>
      </c>
      <c r="C16" s="32"/>
      <c r="D16" s="43"/>
      <c r="E16" s="43"/>
      <c r="F16" s="43"/>
      <c r="G16" s="43"/>
      <c r="H16" s="42"/>
      <c r="I16" s="42"/>
      <c r="J16" s="34"/>
      <c r="K16" s="27"/>
    </row>
    <row r="17" spans="1:11" x14ac:dyDescent="0.3">
      <c r="A17" s="57"/>
      <c r="B17" s="22">
        <v>4</v>
      </c>
      <c r="C17" s="32"/>
      <c r="D17" s="43"/>
      <c r="E17" s="43"/>
      <c r="F17" s="43"/>
      <c r="G17" s="43"/>
      <c r="H17" s="42"/>
      <c r="I17" s="42"/>
      <c r="J17" s="34"/>
      <c r="K17" s="27"/>
    </row>
    <row r="18" spans="1:11" x14ac:dyDescent="0.3">
      <c r="A18" s="57"/>
      <c r="B18" s="22">
        <v>5</v>
      </c>
      <c r="C18" s="32"/>
      <c r="D18" s="43"/>
      <c r="E18" s="43"/>
      <c r="F18" s="31"/>
      <c r="G18" s="43"/>
      <c r="H18" s="23"/>
      <c r="I18" s="33"/>
      <c r="J18" s="34"/>
      <c r="K18" s="27"/>
    </row>
    <row r="19" spans="1:11" ht="17.25" thickBot="1" x14ac:dyDescent="0.35">
      <c r="A19" s="58"/>
      <c r="B19" s="59" t="s">
        <v>30</v>
      </c>
      <c r="C19" s="59"/>
      <c r="D19" s="59"/>
      <c r="E19" s="59"/>
      <c r="F19" s="59"/>
      <c r="G19" s="59"/>
      <c r="H19" s="59"/>
      <c r="I19" s="59"/>
      <c r="J19" s="28">
        <f>SUM(J14:J18)</f>
        <v>0</v>
      </c>
      <c r="K19" s="27"/>
    </row>
    <row r="20" spans="1:11" x14ac:dyDescent="0.3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/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 x14ac:dyDescent="0.3">
      <c r="A21" s="56" t="s">
        <v>32</v>
      </c>
      <c r="B21" s="24"/>
      <c r="C21" s="26"/>
      <c r="D21" s="24"/>
      <c r="E21" s="24"/>
      <c r="F21" s="29"/>
      <c r="G21" s="29"/>
      <c r="H21" s="23"/>
      <c r="I21" s="24"/>
      <c r="J21" s="25"/>
      <c r="K21" s="27"/>
    </row>
    <row r="22" spans="1:11" x14ac:dyDescent="0.3">
      <c r="A22" s="57"/>
      <c r="B22" s="24"/>
      <c r="C22" s="26"/>
      <c r="D22" s="24"/>
      <c r="E22" s="24"/>
      <c r="F22" s="29"/>
      <c r="G22" s="29"/>
      <c r="H22" s="23"/>
      <c r="I22" s="24"/>
      <c r="J22" s="25"/>
      <c r="K22" s="27"/>
    </row>
    <row r="23" spans="1:11" x14ac:dyDescent="0.3">
      <c r="A23" s="58"/>
      <c r="B23" s="59" t="s">
        <v>30</v>
      </c>
      <c r="C23" s="59"/>
      <c r="D23" s="59"/>
      <c r="E23" s="59"/>
      <c r="F23" s="59"/>
      <c r="G23" s="59"/>
      <c r="H23" s="59"/>
      <c r="I23" s="59"/>
      <c r="J23" s="28">
        <f>SUM(J21:J22)</f>
        <v>0</v>
      </c>
      <c r="K23" s="27"/>
    </row>
    <row r="24" spans="1:11" ht="17.25" thickBot="1" x14ac:dyDescent="0.35">
      <c r="A24" s="60" t="s">
        <v>33</v>
      </c>
      <c r="B24" s="61"/>
      <c r="C24" s="61"/>
      <c r="D24" s="61"/>
      <c r="E24" s="61"/>
      <c r="F24" s="61"/>
      <c r="G24" s="61"/>
      <c r="H24" s="61"/>
      <c r="I24" s="62"/>
      <c r="J24" s="39">
        <f>SUM(J12,J19,J23)</f>
        <v>740000</v>
      </c>
      <c r="K24" s="40"/>
    </row>
  </sheetData>
  <mergeCells count="9">
    <mergeCell ref="A21:A23"/>
    <mergeCell ref="B23:I23"/>
    <mergeCell ref="A24:I24"/>
    <mergeCell ref="A1:K1"/>
    <mergeCell ref="J2:K2"/>
    <mergeCell ref="A4:A12"/>
    <mergeCell ref="B12:I12"/>
    <mergeCell ref="A14:A19"/>
    <mergeCell ref="B19:I1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K24"/>
  <sheetViews>
    <sheetView workbookViewId="0">
      <selection sqref="A1:K1"/>
    </sheetView>
  </sheetViews>
  <sheetFormatPr defaultRowHeight="16.5" x14ac:dyDescent="0.3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 x14ac:dyDescent="0.3">
      <c r="A1" s="63" t="s">
        <v>248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17.25" thickBot="1" x14ac:dyDescent="0.35">
      <c r="A2" s="14"/>
      <c r="B2" s="14"/>
      <c r="C2" s="15"/>
      <c r="D2" s="16"/>
      <c r="E2" s="14"/>
      <c r="F2" s="16"/>
      <c r="G2" s="16"/>
      <c r="H2" s="16"/>
      <c r="I2" s="16"/>
      <c r="J2" s="64" t="s">
        <v>19</v>
      </c>
      <c r="K2" s="65"/>
    </row>
    <row r="3" spans="1:11" x14ac:dyDescent="0.3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 x14ac:dyDescent="0.3">
      <c r="A4" s="66" t="s">
        <v>29</v>
      </c>
      <c r="B4" s="21">
        <v>1</v>
      </c>
      <c r="C4" s="44">
        <v>45189</v>
      </c>
      <c r="D4" s="45" t="s">
        <v>204</v>
      </c>
      <c r="E4" s="45" t="s">
        <v>205</v>
      </c>
      <c r="F4" s="45" t="s">
        <v>206</v>
      </c>
      <c r="G4" s="43" t="s">
        <v>208</v>
      </c>
      <c r="H4" s="42"/>
      <c r="I4" s="42" t="s">
        <v>207</v>
      </c>
      <c r="J4" s="47">
        <v>100000</v>
      </c>
      <c r="K4" s="41"/>
    </row>
    <row r="5" spans="1:11" x14ac:dyDescent="0.3">
      <c r="A5" s="67"/>
      <c r="B5" s="21">
        <v>2</v>
      </c>
      <c r="C5" s="44">
        <v>45197</v>
      </c>
      <c r="D5" s="45" t="s">
        <v>218</v>
      </c>
      <c r="E5" s="45" t="s">
        <v>219</v>
      </c>
      <c r="F5" s="45" t="s">
        <v>222</v>
      </c>
      <c r="G5" s="43" t="s">
        <v>220</v>
      </c>
      <c r="H5" s="42"/>
      <c r="I5" s="42" t="s">
        <v>221</v>
      </c>
      <c r="J5" s="47">
        <v>90000</v>
      </c>
      <c r="K5" s="41"/>
    </row>
    <row r="6" spans="1:11" x14ac:dyDescent="0.3">
      <c r="A6" s="67"/>
      <c r="B6" s="21">
        <v>3</v>
      </c>
      <c r="C6" s="44"/>
      <c r="D6" s="43"/>
      <c r="E6" s="45"/>
      <c r="F6" s="45"/>
      <c r="G6" s="43"/>
      <c r="H6" s="42"/>
      <c r="I6" s="42"/>
      <c r="J6" s="47"/>
      <c r="K6" s="41"/>
    </row>
    <row r="7" spans="1:11" x14ac:dyDescent="0.3">
      <c r="A7" s="67"/>
      <c r="B7" s="21">
        <v>4</v>
      </c>
      <c r="C7" s="44"/>
      <c r="D7" s="45"/>
      <c r="E7" s="45"/>
      <c r="F7" s="45"/>
      <c r="G7" s="43"/>
      <c r="H7" s="42"/>
      <c r="I7" s="42"/>
      <c r="J7" s="47"/>
      <c r="K7" s="41"/>
    </row>
    <row r="8" spans="1:11" x14ac:dyDescent="0.3">
      <c r="A8" s="67"/>
      <c r="B8" s="21">
        <v>5</v>
      </c>
      <c r="C8" s="44"/>
      <c r="D8" s="45"/>
      <c r="E8" s="45"/>
      <c r="F8" s="45"/>
      <c r="G8" s="51"/>
      <c r="H8" s="51"/>
      <c r="I8" s="42"/>
      <c r="J8" s="47"/>
      <c r="K8" s="41"/>
    </row>
    <row r="9" spans="1:11" x14ac:dyDescent="0.3">
      <c r="A9" s="67"/>
      <c r="B9" s="21">
        <v>6</v>
      </c>
      <c r="C9" s="44"/>
      <c r="D9" s="45"/>
      <c r="E9" s="45"/>
      <c r="F9" s="45"/>
      <c r="G9" s="51"/>
      <c r="H9" s="51"/>
      <c r="I9" s="42"/>
      <c r="J9" s="47"/>
      <c r="K9" s="41"/>
    </row>
    <row r="10" spans="1:11" x14ac:dyDescent="0.3">
      <c r="A10" s="67"/>
      <c r="B10" s="21">
        <v>7</v>
      </c>
      <c r="C10" s="44"/>
      <c r="D10" s="45"/>
      <c r="E10" s="45"/>
      <c r="F10" s="45"/>
      <c r="G10" s="43"/>
      <c r="H10" s="42"/>
      <c r="I10" s="42"/>
      <c r="J10" s="47"/>
      <c r="K10" s="41"/>
    </row>
    <row r="11" spans="1:11" x14ac:dyDescent="0.3">
      <c r="A11" s="67"/>
      <c r="B11" s="21">
        <v>8</v>
      </c>
      <c r="C11" s="44"/>
      <c r="D11" s="43"/>
      <c r="E11" s="45"/>
      <c r="F11" s="45"/>
      <c r="G11" s="42"/>
      <c r="H11" s="42"/>
      <c r="I11" s="42"/>
      <c r="J11" s="47"/>
      <c r="K11" s="41"/>
    </row>
    <row r="12" spans="1:11" ht="17.25" thickBot="1" x14ac:dyDescent="0.35">
      <c r="A12" s="68"/>
      <c r="B12" s="69" t="s">
        <v>30</v>
      </c>
      <c r="C12" s="70"/>
      <c r="D12" s="70"/>
      <c r="E12" s="70"/>
      <c r="F12" s="70"/>
      <c r="G12" s="70"/>
      <c r="H12" s="70"/>
      <c r="I12" s="70"/>
      <c r="J12" s="30">
        <f>SUM(J4:J11)</f>
        <v>190000</v>
      </c>
      <c r="K12" s="27"/>
    </row>
    <row r="13" spans="1:11" x14ac:dyDescent="0.3">
      <c r="A13" s="17" t="s">
        <v>20</v>
      </c>
      <c r="B13" s="18" t="s">
        <v>21</v>
      </c>
      <c r="C13" s="19" t="s">
        <v>22</v>
      </c>
      <c r="D13" s="18" t="s">
        <v>23</v>
      </c>
      <c r="E13" s="18" t="s">
        <v>24</v>
      </c>
      <c r="F13" s="18" t="s">
        <v>34</v>
      </c>
      <c r="G13" s="18" t="s">
        <v>38</v>
      </c>
      <c r="H13" s="18" t="s">
        <v>25</v>
      </c>
      <c r="I13" s="18" t="s">
        <v>26</v>
      </c>
      <c r="J13" s="18" t="s">
        <v>27</v>
      </c>
      <c r="K13" s="20" t="s">
        <v>28</v>
      </c>
    </row>
    <row r="14" spans="1:11" x14ac:dyDescent="0.3">
      <c r="A14" s="56" t="s">
        <v>31</v>
      </c>
      <c r="B14" s="22">
        <v>1</v>
      </c>
      <c r="C14" s="32">
        <v>45186</v>
      </c>
      <c r="D14" s="43" t="s">
        <v>193</v>
      </c>
      <c r="E14" s="43" t="s">
        <v>194</v>
      </c>
      <c r="F14" s="43" t="s">
        <v>195</v>
      </c>
      <c r="G14" s="43" t="s">
        <v>196</v>
      </c>
      <c r="H14" s="42" t="s">
        <v>197</v>
      </c>
      <c r="I14" s="42" t="s">
        <v>198</v>
      </c>
      <c r="J14" s="34">
        <v>90000</v>
      </c>
      <c r="K14" s="27"/>
    </row>
    <row r="15" spans="1:11" x14ac:dyDescent="0.3">
      <c r="A15" s="57"/>
      <c r="B15" s="22">
        <v>2</v>
      </c>
      <c r="C15" s="44">
        <v>45192</v>
      </c>
      <c r="D15" s="45" t="s">
        <v>199</v>
      </c>
      <c r="E15" s="45" t="s">
        <v>200</v>
      </c>
      <c r="F15" s="45" t="s">
        <v>201</v>
      </c>
      <c r="G15" s="43" t="s">
        <v>202</v>
      </c>
      <c r="H15" s="42"/>
      <c r="I15" s="42" t="s">
        <v>203</v>
      </c>
      <c r="J15" s="47">
        <v>90000</v>
      </c>
      <c r="K15" s="27"/>
    </row>
    <row r="16" spans="1:11" x14ac:dyDescent="0.3">
      <c r="A16" s="57"/>
      <c r="B16" s="22">
        <v>3</v>
      </c>
      <c r="C16" s="32">
        <v>45192</v>
      </c>
      <c r="D16" s="43" t="s">
        <v>209</v>
      </c>
      <c r="E16" s="43" t="s">
        <v>210</v>
      </c>
      <c r="F16" s="43" t="s">
        <v>211</v>
      </c>
      <c r="G16" s="43" t="s">
        <v>212</v>
      </c>
      <c r="H16" s="42"/>
      <c r="I16" s="42" t="s">
        <v>213</v>
      </c>
      <c r="J16" s="34">
        <v>90000</v>
      </c>
      <c r="K16" s="27"/>
    </row>
    <row r="17" spans="1:11" x14ac:dyDescent="0.3">
      <c r="A17" s="57"/>
      <c r="B17" s="22">
        <v>4</v>
      </c>
      <c r="C17" s="32">
        <v>45194</v>
      </c>
      <c r="D17" s="43" t="s">
        <v>214</v>
      </c>
      <c r="E17" s="43" t="s">
        <v>215</v>
      </c>
      <c r="F17" s="43" t="s">
        <v>216</v>
      </c>
      <c r="G17" s="43" t="s">
        <v>196</v>
      </c>
      <c r="H17" s="42"/>
      <c r="I17" s="42" t="s">
        <v>217</v>
      </c>
      <c r="J17" s="34">
        <v>100000</v>
      </c>
      <c r="K17" s="27"/>
    </row>
    <row r="18" spans="1:11" x14ac:dyDescent="0.3">
      <c r="A18" s="57"/>
      <c r="B18" s="22">
        <v>5</v>
      </c>
      <c r="C18" s="32"/>
      <c r="D18" s="43"/>
      <c r="E18" s="43"/>
      <c r="F18" s="31"/>
      <c r="G18" s="43"/>
      <c r="H18" s="23"/>
      <c r="I18" s="33"/>
      <c r="J18" s="34"/>
      <c r="K18" s="27"/>
    </row>
    <row r="19" spans="1:11" ht="17.25" thickBot="1" x14ac:dyDescent="0.35">
      <c r="A19" s="58"/>
      <c r="B19" s="59" t="s">
        <v>30</v>
      </c>
      <c r="C19" s="59"/>
      <c r="D19" s="59"/>
      <c r="E19" s="59"/>
      <c r="F19" s="59"/>
      <c r="G19" s="59"/>
      <c r="H19" s="59"/>
      <c r="I19" s="59"/>
      <c r="J19" s="28">
        <f>SUM(J14:J18)</f>
        <v>370000</v>
      </c>
      <c r="K19" s="27"/>
    </row>
    <row r="20" spans="1:11" x14ac:dyDescent="0.3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/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 x14ac:dyDescent="0.3">
      <c r="A21" s="56" t="s">
        <v>32</v>
      </c>
      <c r="B21" s="24"/>
      <c r="C21" s="26"/>
      <c r="D21" s="24"/>
      <c r="E21" s="24"/>
      <c r="F21" s="29"/>
      <c r="G21" s="29"/>
      <c r="H21" s="23"/>
      <c r="I21" s="24"/>
      <c r="J21" s="25"/>
      <c r="K21" s="27"/>
    </row>
    <row r="22" spans="1:11" x14ac:dyDescent="0.3">
      <c r="A22" s="57"/>
      <c r="B22" s="24"/>
      <c r="C22" s="26"/>
      <c r="D22" s="24"/>
      <c r="E22" s="24"/>
      <c r="F22" s="29"/>
      <c r="G22" s="29"/>
      <c r="H22" s="23"/>
      <c r="I22" s="24"/>
      <c r="J22" s="25"/>
      <c r="K22" s="27"/>
    </row>
    <row r="23" spans="1:11" x14ac:dyDescent="0.3">
      <c r="A23" s="58"/>
      <c r="B23" s="59" t="s">
        <v>30</v>
      </c>
      <c r="C23" s="59"/>
      <c r="D23" s="59"/>
      <c r="E23" s="59"/>
      <c r="F23" s="59"/>
      <c r="G23" s="59"/>
      <c r="H23" s="59"/>
      <c r="I23" s="59"/>
      <c r="J23" s="28">
        <f>SUM(J21:J22)</f>
        <v>0</v>
      </c>
      <c r="K23" s="27"/>
    </row>
    <row r="24" spans="1:11" ht="17.25" thickBot="1" x14ac:dyDescent="0.35">
      <c r="A24" s="60" t="s">
        <v>33</v>
      </c>
      <c r="B24" s="61"/>
      <c r="C24" s="61"/>
      <c r="D24" s="61"/>
      <c r="E24" s="61"/>
      <c r="F24" s="61"/>
      <c r="G24" s="61"/>
      <c r="H24" s="61"/>
      <c r="I24" s="62"/>
      <c r="J24" s="39">
        <f>SUM(J12,J19,J23)</f>
        <v>560000</v>
      </c>
      <c r="K24" s="40"/>
    </row>
  </sheetData>
  <mergeCells count="9">
    <mergeCell ref="A21:A23"/>
    <mergeCell ref="B23:I23"/>
    <mergeCell ref="A24:I24"/>
    <mergeCell ref="A1:K1"/>
    <mergeCell ref="J2:K2"/>
    <mergeCell ref="A4:A12"/>
    <mergeCell ref="B12:I12"/>
    <mergeCell ref="A14:A19"/>
    <mergeCell ref="B19:I1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K24"/>
  <sheetViews>
    <sheetView workbookViewId="0">
      <selection sqref="A1:K1"/>
    </sheetView>
  </sheetViews>
  <sheetFormatPr defaultRowHeight="16.5" x14ac:dyDescent="0.3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 x14ac:dyDescent="0.3">
      <c r="A1" s="63" t="s">
        <v>247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17.25" thickBot="1" x14ac:dyDescent="0.35">
      <c r="A2" s="14"/>
      <c r="B2" s="14"/>
      <c r="C2" s="15"/>
      <c r="D2" s="16"/>
      <c r="E2" s="14"/>
      <c r="F2" s="16"/>
      <c r="G2" s="16"/>
      <c r="H2" s="16"/>
      <c r="I2" s="16"/>
      <c r="J2" s="64" t="s">
        <v>19</v>
      </c>
      <c r="K2" s="65"/>
    </row>
    <row r="3" spans="1:11" x14ac:dyDescent="0.3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 x14ac:dyDescent="0.3">
      <c r="A4" s="66" t="s">
        <v>29</v>
      </c>
      <c r="B4" s="21">
        <v>1</v>
      </c>
      <c r="C4" s="44">
        <v>45201</v>
      </c>
      <c r="D4" s="45" t="s">
        <v>39</v>
      </c>
      <c r="E4" s="45" t="s">
        <v>223</v>
      </c>
      <c r="F4" s="45" t="s">
        <v>224</v>
      </c>
      <c r="G4" s="43"/>
      <c r="H4" s="42" t="s">
        <v>225</v>
      </c>
      <c r="I4" s="42" t="s">
        <v>226</v>
      </c>
      <c r="J4" s="47">
        <v>90000</v>
      </c>
      <c r="K4" s="41"/>
    </row>
    <row r="5" spans="1:11" x14ac:dyDescent="0.3">
      <c r="A5" s="67"/>
      <c r="B5" s="21">
        <v>2</v>
      </c>
      <c r="C5" s="44">
        <v>45204</v>
      </c>
      <c r="D5" s="45" t="s">
        <v>227</v>
      </c>
      <c r="E5" s="45" t="s">
        <v>228</v>
      </c>
      <c r="F5" s="45" t="s">
        <v>229</v>
      </c>
      <c r="G5" s="43" t="s">
        <v>230</v>
      </c>
      <c r="H5" s="42"/>
      <c r="I5" s="42" t="s">
        <v>231</v>
      </c>
      <c r="J5" s="47">
        <v>100000</v>
      </c>
      <c r="K5" s="41"/>
    </row>
    <row r="6" spans="1:11" x14ac:dyDescent="0.3">
      <c r="A6" s="67"/>
      <c r="B6" s="21">
        <v>3</v>
      </c>
      <c r="C6" s="44">
        <v>45205</v>
      </c>
      <c r="D6" s="43" t="s">
        <v>232</v>
      </c>
      <c r="E6" s="45" t="s">
        <v>41</v>
      </c>
      <c r="F6" s="45" t="s">
        <v>235</v>
      </c>
      <c r="G6" s="43" t="s">
        <v>233</v>
      </c>
      <c r="H6" s="42"/>
      <c r="I6" s="42" t="s">
        <v>234</v>
      </c>
      <c r="J6" s="47">
        <v>100000</v>
      </c>
      <c r="K6" s="41"/>
    </row>
    <row r="7" spans="1:11" x14ac:dyDescent="0.3">
      <c r="A7" s="67"/>
      <c r="B7" s="21">
        <v>4</v>
      </c>
      <c r="C7" s="44">
        <v>45223</v>
      </c>
      <c r="D7" s="45" t="s">
        <v>239</v>
      </c>
      <c r="E7" s="45" t="s">
        <v>240</v>
      </c>
      <c r="F7" s="45" t="s">
        <v>241</v>
      </c>
      <c r="G7" s="43" t="s">
        <v>242</v>
      </c>
      <c r="H7" s="42" t="s">
        <v>225</v>
      </c>
      <c r="I7" s="42" t="s">
        <v>243</v>
      </c>
      <c r="J7" s="47">
        <v>100000</v>
      </c>
      <c r="K7" s="41"/>
    </row>
    <row r="8" spans="1:11" x14ac:dyDescent="0.3">
      <c r="A8" s="67"/>
      <c r="B8" s="21">
        <v>5</v>
      </c>
      <c r="C8" s="44">
        <v>45223</v>
      </c>
      <c r="D8" s="45" t="s">
        <v>239</v>
      </c>
      <c r="E8" s="45" t="s">
        <v>240</v>
      </c>
      <c r="F8" s="45" t="s">
        <v>241</v>
      </c>
      <c r="G8" s="43" t="s">
        <v>242</v>
      </c>
      <c r="H8" s="42" t="s">
        <v>244</v>
      </c>
      <c r="I8" s="42" t="s">
        <v>243</v>
      </c>
      <c r="J8" s="47">
        <v>100000</v>
      </c>
      <c r="K8" s="41"/>
    </row>
    <row r="9" spans="1:11" x14ac:dyDescent="0.3">
      <c r="A9" s="67"/>
      <c r="B9" s="21">
        <v>6</v>
      </c>
      <c r="C9" s="44">
        <v>45227</v>
      </c>
      <c r="D9" s="45" t="s">
        <v>245</v>
      </c>
      <c r="E9" s="45" t="s">
        <v>41</v>
      </c>
      <c r="F9" s="45" t="s">
        <v>246</v>
      </c>
      <c r="G9" s="51"/>
      <c r="H9" s="51" t="s">
        <v>225</v>
      </c>
      <c r="I9" s="42"/>
      <c r="J9" s="47">
        <v>90000</v>
      </c>
      <c r="K9" s="41"/>
    </row>
    <row r="10" spans="1:11" x14ac:dyDescent="0.3">
      <c r="A10" s="67"/>
      <c r="B10" s="21">
        <v>7</v>
      </c>
      <c r="C10" s="44"/>
      <c r="D10" s="45"/>
      <c r="E10" s="45"/>
      <c r="F10" s="45"/>
      <c r="G10" s="43"/>
      <c r="H10" s="42"/>
      <c r="I10" s="42"/>
      <c r="J10" s="47"/>
      <c r="K10" s="41"/>
    </row>
    <row r="11" spans="1:11" x14ac:dyDescent="0.3">
      <c r="A11" s="67"/>
      <c r="B11" s="21">
        <v>8</v>
      </c>
      <c r="C11" s="44"/>
      <c r="D11" s="43"/>
      <c r="E11" s="45"/>
      <c r="F11" s="45"/>
      <c r="G11" s="42"/>
      <c r="H11" s="42"/>
      <c r="I11" s="42"/>
      <c r="J11" s="47"/>
      <c r="K11" s="41"/>
    </row>
    <row r="12" spans="1:11" ht="17.25" thickBot="1" x14ac:dyDescent="0.35">
      <c r="A12" s="68"/>
      <c r="B12" s="69" t="s">
        <v>30</v>
      </c>
      <c r="C12" s="70"/>
      <c r="D12" s="70"/>
      <c r="E12" s="70"/>
      <c r="F12" s="70"/>
      <c r="G12" s="70"/>
      <c r="H12" s="70"/>
      <c r="I12" s="70"/>
      <c r="J12" s="30">
        <f>SUM(J4:J11)</f>
        <v>580000</v>
      </c>
      <c r="K12" s="27"/>
    </row>
    <row r="13" spans="1:11" x14ac:dyDescent="0.3">
      <c r="A13" s="17" t="s">
        <v>20</v>
      </c>
      <c r="B13" s="18" t="s">
        <v>21</v>
      </c>
      <c r="C13" s="19" t="s">
        <v>22</v>
      </c>
      <c r="D13" s="18" t="s">
        <v>23</v>
      </c>
      <c r="E13" s="18" t="s">
        <v>24</v>
      </c>
      <c r="F13" s="18" t="s">
        <v>34</v>
      </c>
      <c r="G13" s="18" t="s">
        <v>38</v>
      </c>
      <c r="H13" s="18" t="s">
        <v>25</v>
      </c>
      <c r="I13" s="18" t="s">
        <v>26</v>
      </c>
      <c r="J13" s="18" t="s">
        <v>27</v>
      </c>
      <c r="K13" s="20" t="s">
        <v>28</v>
      </c>
    </row>
    <row r="14" spans="1:11" x14ac:dyDescent="0.3">
      <c r="A14" s="56" t="s">
        <v>31</v>
      </c>
      <c r="B14" s="22">
        <v>1</v>
      </c>
      <c r="C14" s="32">
        <v>45220</v>
      </c>
      <c r="D14" s="43" t="s">
        <v>58</v>
      </c>
      <c r="E14" s="43" t="s">
        <v>236</v>
      </c>
      <c r="F14" s="43" t="s">
        <v>237</v>
      </c>
      <c r="G14" s="43" t="s">
        <v>88</v>
      </c>
      <c r="H14" s="42"/>
      <c r="I14" s="42" t="s">
        <v>238</v>
      </c>
      <c r="J14" s="34">
        <v>90000</v>
      </c>
      <c r="K14" s="27"/>
    </row>
    <row r="15" spans="1:11" x14ac:dyDescent="0.3">
      <c r="A15" s="57"/>
      <c r="B15" s="22">
        <v>2</v>
      </c>
      <c r="C15" s="44"/>
      <c r="D15" s="45"/>
      <c r="E15" s="45"/>
      <c r="F15" s="45"/>
      <c r="G15" s="43"/>
      <c r="H15" s="42"/>
      <c r="I15" s="42"/>
      <c r="J15" s="47"/>
      <c r="K15" s="27"/>
    </row>
    <row r="16" spans="1:11" x14ac:dyDescent="0.3">
      <c r="A16" s="57"/>
      <c r="B16" s="22">
        <v>3</v>
      </c>
      <c r="C16" s="32"/>
      <c r="D16" s="43"/>
      <c r="E16" s="43"/>
      <c r="F16" s="43"/>
      <c r="G16" s="43"/>
      <c r="H16" s="42"/>
      <c r="I16" s="42"/>
      <c r="J16" s="34"/>
      <c r="K16" s="27"/>
    </row>
    <row r="17" spans="1:11" x14ac:dyDescent="0.3">
      <c r="A17" s="57"/>
      <c r="B17" s="22">
        <v>4</v>
      </c>
      <c r="C17" s="32"/>
      <c r="D17" s="43"/>
      <c r="E17" s="43"/>
      <c r="F17" s="43"/>
      <c r="G17" s="43"/>
      <c r="H17" s="42"/>
      <c r="I17" s="42"/>
      <c r="J17" s="34"/>
      <c r="K17" s="27"/>
    </row>
    <row r="18" spans="1:11" x14ac:dyDescent="0.3">
      <c r="A18" s="57"/>
      <c r="B18" s="22">
        <v>5</v>
      </c>
      <c r="C18" s="32"/>
      <c r="D18" s="43"/>
      <c r="E18" s="43"/>
      <c r="F18" s="31"/>
      <c r="G18" s="43"/>
      <c r="H18" s="23"/>
      <c r="I18" s="33"/>
      <c r="J18" s="34"/>
      <c r="K18" s="27"/>
    </row>
    <row r="19" spans="1:11" ht="17.25" thickBot="1" x14ac:dyDescent="0.35">
      <c r="A19" s="58"/>
      <c r="B19" s="59" t="s">
        <v>30</v>
      </c>
      <c r="C19" s="59"/>
      <c r="D19" s="59"/>
      <c r="E19" s="59"/>
      <c r="F19" s="59"/>
      <c r="G19" s="59"/>
      <c r="H19" s="59"/>
      <c r="I19" s="59"/>
      <c r="J19" s="28">
        <f>SUM(J14:J18)</f>
        <v>90000</v>
      </c>
      <c r="K19" s="27"/>
    </row>
    <row r="20" spans="1:11" x14ac:dyDescent="0.3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/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 x14ac:dyDescent="0.3">
      <c r="A21" s="56" t="s">
        <v>32</v>
      </c>
      <c r="B21" s="24"/>
      <c r="C21" s="26"/>
      <c r="D21" s="24"/>
      <c r="E21" s="24"/>
      <c r="F21" s="29"/>
      <c r="G21" s="29"/>
      <c r="H21" s="23"/>
      <c r="I21" s="24"/>
      <c r="J21" s="25"/>
      <c r="K21" s="27"/>
    </row>
    <row r="22" spans="1:11" x14ac:dyDescent="0.3">
      <c r="A22" s="57"/>
      <c r="B22" s="24"/>
      <c r="C22" s="26"/>
      <c r="D22" s="24"/>
      <c r="E22" s="24"/>
      <c r="F22" s="29"/>
      <c r="G22" s="29"/>
      <c r="H22" s="23"/>
      <c r="I22" s="24"/>
      <c r="J22" s="25"/>
      <c r="K22" s="27"/>
    </row>
    <row r="23" spans="1:11" x14ac:dyDescent="0.3">
      <c r="A23" s="58"/>
      <c r="B23" s="59" t="s">
        <v>30</v>
      </c>
      <c r="C23" s="59"/>
      <c r="D23" s="59"/>
      <c r="E23" s="59"/>
      <c r="F23" s="59"/>
      <c r="G23" s="59"/>
      <c r="H23" s="59"/>
      <c r="I23" s="59"/>
      <c r="J23" s="28">
        <f>SUM(J21:J22)</f>
        <v>0</v>
      </c>
      <c r="K23" s="27"/>
    </row>
    <row r="24" spans="1:11" ht="17.25" thickBot="1" x14ac:dyDescent="0.35">
      <c r="A24" s="60" t="s">
        <v>33</v>
      </c>
      <c r="B24" s="61"/>
      <c r="C24" s="61"/>
      <c r="D24" s="61"/>
      <c r="E24" s="61"/>
      <c r="F24" s="61"/>
      <c r="G24" s="61"/>
      <c r="H24" s="61"/>
      <c r="I24" s="62"/>
      <c r="J24" s="39">
        <f>SUM(J12,J19,J23)</f>
        <v>670000</v>
      </c>
      <c r="K24" s="40"/>
    </row>
  </sheetData>
  <mergeCells count="9">
    <mergeCell ref="A21:A23"/>
    <mergeCell ref="B23:I23"/>
    <mergeCell ref="A24:I24"/>
    <mergeCell ref="A1:K1"/>
    <mergeCell ref="J2:K2"/>
    <mergeCell ref="A4:A12"/>
    <mergeCell ref="B12:I12"/>
    <mergeCell ref="A14:A19"/>
    <mergeCell ref="B19:I1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K29"/>
  <sheetViews>
    <sheetView topLeftCell="B1" workbookViewId="0">
      <selection activeCell="J16" sqref="J16"/>
    </sheetView>
  </sheetViews>
  <sheetFormatPr defaultRowHeight="16.5" x14ac:dyDescent="0.3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 x14ac:dyDescent="0.3">
      <c r="A1" s="63" t="s">
        <v>250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17.25" thickBot="1" x14ac:dyDescent="0.35">
      <c r="A2" s="14"/>
      <c r="B2" s="14"/>
      <c r="C2" s="15"/>
      <c r="D2" s="16"/>
      <c r="E2" s="14"/>
      <c r="F2" s="16"/>
      <c r="G2" s="16"/>
      <c r="H2" s="16"/>
      <c r="I2" s="16"/>
      <c r="J2" s="64" t="s">
        <v>19</v>
      </c>
      <c r="K2" s="65"/>
    </row>
    <row r="3" spans="1:11" x14ac:dyDescent="0.3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 x14ac:dyDescent="0.3">
      <c r="A4" s="66" t="s">
        <v>29</v>
      </c>
      <c r="B4" s="21">
        <v>1</v>
      </c>
      <c r="C4" s="44">
        <v>45231</v>
      </c>
      <c r="D4" s="45" t="s">
        <v>39</v>
      </c>
      <c r="E4" s="45" t="s">
        <v>59</v>
      </c>
      <c r="F4" s="45" t="s">
        <v>249</v>
      </c>
      <c r="G4" s="43"/>
      <c r="H4" s="42" t="s">
        <v>244</v>
      </c>
      <c r="I4" s="42" t="s">
        <v>226</v>
      </c>
      <c r="J4" s="47">
        <v>90000</v>
      </c>
      <c r="K4" s="41"/>
    </row>
    <row r="5" spans="1:11" x14ac:dyDescent="0.3">
      <c r="A5" s="67"/>
      <c r="B5" s="21">
        <v>2</v>
      </c>
      <c r="C5" s="44">
        <v>45231</v>
      </c>
      <c r="D5" s="45" t="s">
        <v>251</v>
      </c>
      <c r="E5" s="45" t="s">
        <v>252</v>
      </c>
      <c r="F5" s="45" t="s">
        <v>253</v>
      </c>
      <c r="G5" s="43" t="s">
        <v>254</v>
      </c>
      <c r="H5" s="42" t="s">
        <v>255</v>
      </c>
      <c r="I5" s="42"/>
      <c r="J5" s="47">
        <v>100000</v>
      </c>
      <c r="K5" s="41"/>
    </row>
    <row r="6" spans="1:11" x14ac:dyDescent="0.3">
      <c r="A6" s="67"/>
      <c r="B6" s="21">
        <v>3</v>
      </c>
      <c r="C6" s="44">
        <v>45233</v>
      </c>
      <c r="D6" s="43" t="s">
        <v>261</v>
      </c>
      <c r="E6" s="45" t="s">
        <v>262</v>
      </c>
      <c r="F6" s="45" t="s">
        <v>263</v>
      </c>
      <c r="G6" s="43" t="s">
        <v>264</v>
      </c>
      <c r="H6" s="42" t="s">
        <v>265</v>
      </c>
      <c r="I6" s="42"/>
      <c r="J6" s="47">
        <v>100000</v>
      </c>
      <c r="K6" s="41"/>
    </row>
    <row r="7" spans="1:11" x14ac:dyDescent="0.3">
      <c r="A7" s="67"/>
      <c r="B7" s="21">
        <v>4</v>
      </c>
      <c r="C7" s="44">
        <v>45237</v>
      </c>
      <c r="D7" s="45" t="s">
        <v>39</v>
      </c>
      <c r="E7" s="45" t="s">
        <v>266</v>
      </c>
      <c r="F7" s="45" t="s">
        <v>267</v>
      </c>
      <c r="G7" s="43" t="s">
        <v>278</v>
      </c>
      <c r="H7" s="42"/>
      <c r="I7" s="42"/>
      <c r="J7" s="47">
        <v>90000</v>
      </c>
      <c r="K7" s="41"/>
    </row>
    <row r="8" spans="1:11" x14ac:dyDescent="0.3">
      <c r="A8" s="67"/>
      <c r="B8" s="21">
        <v>5</v>
      </c>
      <c r="C8" s="44">
        <v>45239</v>
      </c>
      <c r="D8" s="45" t="s">
        <v>39</v>
      </c>
      <c r="E8" s="45" t="s">
        <v>279</v>
      </c>
      <c r="F8" s="45" t="s">
        <v>280</v>
      </c>
      <c r="G8" s="43"/>
      <c r="H8" s="42"/>
      <c r="I8" s="42"/>
      <c r="J8" s="47">
        <v>90000</v>
      </c>
      <c r="K8" s="41"/>
    </row>
    <row r="9" spans="1:11" x14ac:dyDescent="0.3">
      <c r="A9" s="67"/>
      <c r="B9" s="21">
        <v>6</v>
      </c>
      <c r="C9" s="44">
        <v>45239</v>
      </c>
      <c r="D9" s="45" t="s">
        <v>39</v>
      </c>
      <c r="E9" s="45" t="s">
        <v>281</v>
      </c>
      <c r="F9" s="45" t="s">
        <v>282</v>
      </c>
      <c r="G9" s="51" t="s">
        <v>284</v>
      </c>
      <c r="H9" s="51" t="s">
        <v>283</v>
      </c>
      <c r="I9" s="42" t="s">
        <v>285</v>
      </c>
      <c r="J9" s="47">
        <v>90000</v>
      </c>
      <c r="K9" s="41"/>
    </row>
    <row r="10" spans="1:11" x14ac:dyDescent="0.3">
      <c r="A10" s="67"/>
      <c r="B10" s="21">
        <v>7</v>
      </c>
      <c r="C10" s="44">
        <v>45244</v>
      </c>
      <c r="D10" s="45" t="s">
        <v>291</v>
      </c>
      <c r="E10" s="45" t="s">
        <v>292</v>
      </c>
      <c r="F10" s="45" t="s">
        <v>293</v>
      </c>
      <c r="G10" s="43"/>
      <c r="H10" s="42"/>
      <c r="I10" s="42"/>
      <c r="J10" s="47">
        <v>90000</v>
      </c>
      <c r="K10" s="41"/>
    </row>
    <row r="11" spans="1:11" x14ac:dyDescent="0.3">
      <c r="A11" s="67"/>
      <c r="B11" s="21">
        <v>8</v>
      </c>
      <c r="C11" s="44">
        <v>45252</v>
      </c>
      <c r="D11" s="43" t="s">
        <v>294</v>
      </c>
      <c r="E11" s="45" t="s">
        <v>41</v>
      </c>
      <c r="F11" s="45" t="s">
        <v>295</v>
      </c>
      <c r="G11" s="42" t="s">
        <v>295</v>
      </c>
      <c r="H11" s="42"/>
      <c r="I11" s="42" t="s">
        <v>296</v>
      </c>
      <c r="J11" s="47">
        <v>100000</v>
      </c>
      <c r="K11" s="41"/>
    </row>
    <row r="12" spans="1:11" x14ac:dyDescent="0.3">
      <c r="A12" s="67"/>
      <c r="B12" s="21">
        <v>9</v>
      </c>
      <c r="C12" s="44">
        <v>45258</v>
      </c>
      <c r="D12" s="45" t="s">
        <v>300</v>
      </c>
      <c r="E12" s="45" t="s">
        <v>129</v>
      </c>
      <c r="F12" s="45" t="s">
        <v>301</v>
      </c>
      <c r="G12" s="43" t="s">
        <v>302</v>
      </c>
      <c r="H12" s="42" t="s">
        <v>303</v>
      </c>
      <c r="I12" s="42" t="s">
        <v>304</v>
      </c>
      <c r="J12" s="47">
        <v>200000</v>
      </c>
      <c r="K12" s="41"/>
    </row>
    <row r="13" spans="1:11" x14ac:dyDescent="0.3">
      <c r="A13" s="67"/>
      <c r="B13" s="21">
        <v>10</v>
      </c>
      <c r="C13" s="44">
        <v>45258</v>
      </c>
      <c r="D13" s="45" t="s">
        <v>305</v>
      </c>
      <c r="E13" s="45" t="s">
        <v>306</v>
      </c>
      <c r="F13" s="45" t="s">
        <v>307</v>
      </c>
      <c r="G13" s="43" t="s">
        <v>308</v>
      </c>
      <c r="H13" s="42"/>
      <c r="I13" s="42" t="s">
        <v>309</v>
      </c>
      <c r="J13" s="47">
        <v>100000</v>
      </c>
      <c r="K13" s="41"/>
    </row>
    <row r="14" spans="1:11" x14ac:dyDescent="0.3">
      <c r="A14" s="67"/>
      <c r="B14" s="21">
        <v>11</v>
      </c>
      <c r="C14" s="44">
        <v>45258</v>
      </c>
      <c r="D14" s="45" t="s">
        <v>218</v>
      </c>
      <c r="E14" s="45" t="s">
        <v>310</v>
      </c>
      <c r="F14" s="45" t="s">
        <v>311</v>
      </c>
      <c r="G14" s="43"/>
      <c r="H14" s="42" t="s">
        <v>312</v>
      </c>
      <c r="I14" s="42" t="s">
        <v>313</v>
      </c>
      <c r="J14" s="47">
        <v>90000</v>
      </c>
      <c r="K14" s="41"/>
    </row>
    <row r="15" spans="1:11" x14ac:dyDescent="0.3">
      <c r="A15" s="67"/>
      <c r="B15" s="21">
        <v>12</v>
      </c>
      <c r="C15" s="44">
        <v>45260</v>
      </c>
      <c r="D15" s="45" t="s">
        <v>314</v>
      </c>
      <c r="E15" s="45" t="s">
        <v>315</v>
      </c>
      <c r="F15" s="45" t="s">
        <v>316</v>
      </c>
      <c r="G15" s="43"/>
      <c r="H15" s="42"/>
      <c r="I15" s="42"/>
      <c r="J15" s="47">
        <v>100000</v>
      </c>
      <c r="K15" s="41"/>
    </row>
    <row r="16" spans="1:11" x14ac:dyDescent="0.3">
      <c r="A16" s="67"/>
      <c r="B16" s="21"/>
      <c r="C16" s="44"/>
      <c r="D16" s="43"/>
      <c r="E16" s="45"/>
      <c r="F16" s="45"/>
      <c r="G16" s="42"/>
      <c r="H16" s="42"/>
      <c r="I16" s="42"/>
      <c r="J16" s="47"/>
      <c r="K16" s="41"/>
    </row>
    <row r="17" spans="1:11" ht="17.25" thickBot="1" x14ac:dyDescent="0.35">
      <c r="A17" s="68"/>
      <c r="B17" s="69" t="s">
        <v>30</v>
      </c>
      <c r="C17" s="70"/>
      <c r="D17" s="70"/>
      <c r="E17" s="70"/>
      <c r="F17" s="70"/>
      <c r="G17" s="70"/>
      <c r="H17" s="70"/>
      <c r="I17" s="70"/>
      <c r="J17" s="30">
        <f>SUM(J4:J16)</f>
        <v>1240000</v>
      </c>
      <c r="K17" s="27"/>
    </row>
    <row r="18" spans="1:11" x14ac:dyDescent="0.3">
      <c r="A18" s="17" t="s">
        <v>20</v>
      </c>
      <c r="B18" s="18" t="s">
        <v>21</v>
      </c>
      <c r="C18" s="19" t="s">
        <v>22</v>
      </c>
      <c r="D18" s="18" t="s">
        <v>23</v>
      </c>
      <c r="E18" s="18" t="s">
        <v>24</v>
      </c>
      <c r="F18" s="18" t="s">
        <v>34</v>
      </c>
      <c r="G18" s="18" t="s">
        <v>38</v>
      </c>
      <c r="H18" s="18" t="s">
        <v>25</v>
      </c>
      <c r="I18" s="18" t="s">
        <v>26</v>
      </c>
      <c r="J18" s="18" t="s">
        <v>27</v>
      </c>
      <c r="K18" s="20" t="s">
        <v>28</v>
      </c>
    </row>
    <row r="19" spans="1:11" x14ac:dyDescent="0.3">
      <c r="A19" s="56" t="s">
        <v>31</v>
      </c>
      <c r="B19" s="22">
        <v>1</v>
      </c>
      <c r="C19" s="32">
        <v>45235</v>
      </c>
      <c r="D19" s="43" t="s">
        <v>256</v>
      </c>
      <c r="E19" s="43" t="s">
        <v>59</v>
      </c>
      <c r="F19" s="43" t="s">
        <v>257</v>
      </c>
      <c r="G19" s="43" t="s">
        <v>260</v>
      </c>
      <c r="H19" s="42" t="s">
        <v>258</v>
      </c>
      <c r="I19" s="42" t="s">
        <v>259</v>
      </c>
      <c r="J19" s="34">
        <v>90000</v>
      </c>
      <c r="K19" s="27"/>
    </row>
    <row r="20" spans="1:11" x14ac:dyDescent="0.3">
      <c r="A20" s="57"/>
      <c r="B20" s="22">
        <v>2</v>
      </c>
      <c r="C20" s="44">
        <v>45241</v>
      </c>
      <c r="D20" s="45" t="s">
        <v>268</v>
      </c>
      <c r="E20" s="45" t="s">
        <v>269</v>
      </c>
      <c r="F20" s="45" t="s">
        <v>274</v>
      </c>
      <c r="G20" s="43" t="s">
        <v>272</v>
      </c>
      <c r="H20" s="42" t="s">
        <v>273</v>
      </c>
      <c r="I20" s="42" t="s">
        <v>271</v>
      </c>
      <c r="J20" s="47">
        <v>90000</v>
      </c>
      <c r="K20" s="27"/>
    </row>
    <row r="21" spans="1:11" x14ac:dyDescent="0.3">
      <c r="A21" s="57"/>
      <c r="B21" s="22">
        <v>3</v>
      </c>
      <c r="C21" s="32">
        <v>45242</v>
      </c>
      <c r="D21" s="43" t="s">
        <v>58</v>
      </c>
      <c r="E21" s="43" t="s">
        <v>270</v>
      </c>
      <c r="F21" s="43" t="s">
        <v>275</v>
      </c>
      <c r="G21" s="43" t="s">
        <v>276</v>
      </c>
      <c r="H21" s="42" t="s">
        <v>277</v>
      </c>
      <c r="I21" s="42"/>
      <c r="J21" s="34">
        <v>90000</v>
      </c>
      <c r="K21" s="27"/>
    </row>
    <row r="22" spans="1:11" x14ac:dyDescent="0.3">
      <c r="A22" s="57"/>
      <c r="B22" s="22">
        <v>4</v>
      </c>
      <c r="C22" s="32">
        <v>45254</v>
      </c>
      <c r="D22" s="43" t="s">
        <v>286</v>
      </c>
      <c r="E22" s="43" t="s">
        <v>287</v>
      </c>
      <c r="F22" s="43" t="s">
        <v>288</v>
      </c>
      <c r="G22" s="43" t="s">
        <v>289</v>
      </c>
      <c r="H22" s="42" t="s">
        <v>290</v>
      </c>
      <c r="I22" s="42"/>
      <c r="J22" s="34">
        <v>100000</v>
      </c>
      <c r="K22" s="27"/>
    </row>
    <row r="23" spans="1:11" x14ac:dyDescent="0.3">
      <c r="A23" s="57"/>
      <c r="B23" s="22">
        <v>5</v>
      </c>
      <c r="C23" s="32"/>
      <c r="D23" s="43"/>
      <c r="E23" s="43"/>
      <c r="F23" s="31"/>
      <c r="G23" s="43"/>
      <c r="H23" s="23"/>
      <c r="I23" s="33"/>
      <c r="J23" s="34"/>
      <c r="K23" s="27"/>
    </row>
    <row r="24" spans="1:11" ht="17.25" thickBot="1" x14ac:dyDescent="0.35">
      <c r="A24" s="58"/>
      <c r="B24" s="59" t="s">
        <v>30</v>
      </c>
      <c r="C24" s="59"/>
      <c r="D24" s="59"/>
      <c r="E24" s="59"/>
      <c r="F24" s="59"/>
      <c r="G24" s="59"/>
      <c r="H24" s="59"/>
      <c r="I24" s="59"/>
      <c r="J24" s="28">
        <f>SUM(J19:J23)</f>
        <v>370000</v>
      </c>
      <c r="K24" s="27"/>
    </row>
    <row r="25" spans="1:11" x14ac:dyDescent="0.3">
      <c r="A25" s="17" t="s">
        <v>20</v>
      </c>
      <c r="B25" s="18" t="s">
        <v>21</v>
      </c>
      <c r="C25" s="19" t="s">
        <v>22</v>
      </c>
      <c r="D25" s="18" t="s">
        <v>23</v>
      </c>
      <c r="E25" s="18" t="s">
        <v>24</v>
      </c>
      <c r="F25" s="18" t="s">
        <v>34</v>
      </c>
      <c r="G25" s="18"/>
      <c r="H25" s="18" t="s">
        <v>25</v>
      </c>
      <c r="I25" s="18" t="s">
        <v>26</v>
      </c>
      <c r="J25" s="18" t="s">
        <v>27</v>
      </c>
      <c r="K25" s="20" t="s">
        <v>28</v>
      </c>
    </row>
    <row r="26" spans="1:11" x14ac:dyDescent="0.3">
      <c r="A26" s="56" t="s">
        <v>32</v>
      </c>
      <c r="B26" s="24"/>
      <c r="C26" s="26"/>
      <c r="D26" s="24"/>
      <c r="E26" s="24"/>
      <c r="F26" s="29"/>
      <c r="G26" s="29"/>
      <c r="H26" s="23"/>
      <c r="I26" s="24"/>
      <c r="J26" s="25"/>
      <c r="K26" s="27"/>
    </row>
    <row r="27" spans="1:11" x14ac:dyDescent="0.3">
      <c r="A27" s="57"/>
      <c r="B27" s="24"/>
      <c r="C27" s="26"/>
      <c r="D27" s="24"/>
      <c r="E27" s="24"/>
      <c r="F27" s="29"/>
      <c r="G27" s="29"/>
      <c r="H27" s="23"/>
      <c r="I27" s="24"/>
      <c r="J27" s="25"/>
      <c r="K27" s="27"/>
    </row>
    <row r="28" spans="1:11" x14ac:dyDescent="0.3">
      <c r="A28" s="58"/>
      <c r="B28" s="59" t="s">
        <v>30</v>
      </c>
      <c r="C28" s="59"/>
      <c r="D28" s="59"/>
      <c r="E28" s="59"/>
      <c r="F28" s="59"/>
      <c r="G28" s="59"/>
      <c r="H28" s="59"/>
      <c r="I28" s="59"/>
      <c r="J28" s="28">
        <f>SUM(J26:J27)</f>
        <v>0</v>
      </c>
      <c r="K28" s="27"/>
    </row>
    <row r="29" spans="1:11" ht="17.25" thickBot="1" x14ac:dyDescent="0.35">
      <c r="A29" s="60" t="s">
        <v>33</v>
      </c>
      <c r="B29" s="61"/>
      <c r="C29" s="61"/>
      <c r="D29" s="61"/>
      <c r="E29" s="61"/>
      <c r="F29" s="61"/>
      <c r="G29" s="61"/>
      <c r="H29" s="61"/>
      <c r="I29" s="62"/>
      <c r="J29" s="39">
        <f>SUM(J17,J24,J28)</f>
        <v>1610000</v>
      </c>
      <c r="K29" s="40"/>
    </row>
  </sheetData>
  <mergeCells count="9">
    <mergeCell ref="A26:A28"/>
    <mergeCell ref="B28:I28"/>
    <mergeCell ref="A29:I29"/>
    <mergeCell ref="A1:K1"/>
    <mergeCell ref="J2:K2"/>
    <mergeCell ref="A4:A17"/>
    <mergeCell ref="B17:I17"/>
    <mergeCell ref="A19:A24"/>
    <mergeCell ref="B24:I24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K24"/>
  <sheetViews>
    <sheetView tabSelected="1" workbookViewId="0">
      <selection activeCell="J15" sqref="J15"/>
    </sheetView>
  </sheetViews>
  <sheetFormatPr defaultRowHeight="16.5" x14ac:dyDescent="0.3"/>
  <cols>
    <col min="1" max="1" width="6.375" bestFit="1" customWidth="1"/>
    <col min="2" max="2" width="3.75" bestFit="1" customWidth="1"/>
    <col min="3" max="3" width="10.875" bestFit="1" customWidth="1"/>
    <col min="4" max="4" width="9.625" bestFit="1" customWidth="1"/>
    <col min="5" max="5" width="6.375" bestFit="1" customWidth="1"/>
    <col min="6" max="6" width="81.125" bestFit="1" customWidth="1"/>
    <col min="7" max="7" width="21.375" bestFit="1" customWidth="1"/>
    <col min="8" max="8" width="21.75" bestFit="1" customWidth="1"/>
    <col min="9" max="9" width="7.5" bestFit="1" customWidth="1"/>
    <col min="10" max="10" width="10.5" customWidth="1"/>
    <col min="11" max="11" width="27.875" bestFit="1" customWidth="1"/>
  </cols>
  <sheetData>
    <row r="1" spans="1:11" ht="26.25" x14ac:dyDescent="0.3">
      <c r="A1" s="63" t="s">
        <v>299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ht="17.25" thickBot="1" x14ac:dyDescent="0.35">
      <c r="A2" s="14"/>
      <c r="B2" s="14"/>
      <c r="C2" s="15"/>
      <c r="D2" s="16"/>
      <c r="E2" s="14"/>
      <c r="F2" s="16"/>
      <c r="G2" s="16"/>
      <c r="H2" s="16"/>
      <c r="I2" s="16"/>
      <c r="J2" s="64" t="s">
        <v>19</v>
      </c>
      <c r="K2" s="65"/>
    </row>
    <row r="3" spans="1:11" x14ac:dyDescent="0.3">
      <c r="A3" s="17" t="s">
        <v>20</v>
      </c>
      <c r="B3" s="18" t="s">
        <v>21</v>
      </c>
      <c r="C3" s="19" t="s">
        <v>22</v>
      </c>
      <c r="D3" s="18" t="s">
        <v>23</v>
      </c>
      <c r="E3" s="18" t="s">
        <v>24</v>
      </c>
      <c r="F3" s="18" t="s">
        <v>34</v>
      </c>
      <c r="G3" s="18" t="s">
        <v>35</v>
      </c>
      <c r="H3" s="18" t="s">
        <v>25</v>
      </c>
      <c r="I3" s="18" t="s">
        <v>26</v>
      </c>
      <c r="J3" s="18" t="s">
        <v>27</v>
      </c>
      <c r="K3" s="20" t="s">
        <v>28</v>
      </c>
    </row>
    <row r="4" spans="1:11" x14ac:dyDescent="0.3">
      <c r="A4" s="66" t="s">
        <v>29</v>
      </c>
      <c r="B4" s="21">
        <v>1</v>
      </c>
      <c r="C4" s="44">
        <v>45261</v>
      </c>
      <c r="D4" s="45" t="s">
        <v>204</v>
      </c>
      <c r="E4" s="45" t="s">
        <v>59</v>
      </c>
      <c r="F4" s="45" t="s">
        <v>297</v>
      </c>
      <c r="G4" s="43"/>
      <c r="H4" s="42" t="s">
        <v>179</v>
      </c>
      <c r="I4" s="42" t="s">
        <v>298</v>
      </c>
      <c r="J4" s="47">
        <v>100000</v>
      </c>
      <c r="K4" s="41"/>
    </row>
    <row r="5" spans="1:11" x14ac:dyDescent="0.3">
      <c r="A5" s="67"/>
      <c r="B5" s="21">
        <v>2</v>
      </c>
      <c r="C5" s="44">
        <v>45265</v>
      </c>
      <c r="D5" s="45" t="s">
        <v>45</v>
      </c>
      <c r="E5" s="45" t="s">
        <v>317</v>
      </c>
      <c r="F5" s="45" t="s">
        <v>318</v>
      </c>
      <c r="G5" s="43"/>
      <c r="H5" s="42" t="s">
        <v>319</v>
      </c>
      <c r="I5" s="42" t="s">
        <v>320</v>
      </c>
      <c r="J5" s="47">
        <v>100000</v>
      </c>
      <c r="K5" s="41"/>
    </row>
    <row r="6" spans="1:11" x14ac:dyDescent="0.3">
      <c r="A6" s="67"/>
      <c r="B6" s="21">
        <v>3</v>
      </c>
      <c r="C6" s="44">
        <v>45265</v>
      </c>
      <c r="D6" s="43" t="s">
        <v>45</v>
      </c>
      <c r="E6" s="45" t="s">
        <v>59</v>
      </c>
      <c r="F6" s="45" t="s">
        <v>321</v>
      </c>
      <c r="G6" s="43" t="s">
        <v>322</v>
      </c>
      <c r="H6" s="42" t="s">
        <v>323</v>
      </c>
      <c r="I6" s="42" t="s">
        <v>324</v>
      </c>
      <c r="J6" s="47">
        <v>100000</v>
      </c>
      <c r="K6" s="41"/>
    </row>
    <row r="7" spans="1:11" x14ac:dyDescent="0.3">
      <c r="A7" s="67"/>
      <c r="B7" s="21">
        <v>4</v>
      </c>
      <c r="C7" s="44">
        <v>45266</v>
      </c>
      <c r="D7" s="45" t="s">
        <v>325</v>
      </c>
      <c r="E7" s="45" t="s">
        <v>59</v>
      </c>
      <c r="F7" s="45" t="s">
        <v>326</v>
      </c>
      <c r="G7" s="43"/>
      <c r="H7" s="42"/>
      <c r="I7" s="42" t="s">
        <v>327</v>
      </c>
      <c r="J7" s="47">
        <v>90000</v>
      </c>
      <c r="K7" s="41"/>
    </row>
    <row r="8" spans="1:11" x14ac:dyDescent="0.3">
      <c r="A8" s="67"/>
      <c r="B8" s="21">
        <v>5</v>
      </c>
      <c r="C8" s="44">
        <v>45277</v>
      </c>
      <c r="D8" s="45" t="s">
        <v>333</v>
      </c>
      <c r="E8" s="45" t="s">
        <v>41</v>
      </c>
      <c r="F8" s="45" t="s">
        <v>321</v>
      </c>
      <c r="G8" s="43" t="s">
        <v>322</v>
      </c>
      <c r="H8" s="42"/>
      <c r="I8" s="42"/>
      <c r="J8" s="47">
        <v>100000</v>
      </c>
      <c r="K8" s="41"/>
    </row>
    <row r="9" spans="1:11" x14ac:dyDescent="0.3">
      <c r="A9" s="67"/>
      <c r="B9" s="21">
        <v>6</v>
      </c>
      <c r="C9" s="44">
        <v>45278</v>
      </c>
      <c r="D9" s="45" t="s">
        <v>39</v>
      </c>
      <c r="E9" s="45" t="s">
        <v>334</v>
      </c>
      <c r="F9" s="45" t="s">
        <v>335</v>
      </c>
      <c r="G9" s="51" t="s">
        <v>336</v>
      </c>
      <c r="H9" s="51"/>
      <c r="I9" s="42" t="s">
        <v>337</v>
      </c>
      <c r="J9" s="47">
        <v>90000</v>
      </c>
      <c r="K9" s="41"/>
    </row>
    <row r="10" spans="1:11" x14ac:dyDescent="0.3">
      <c r="A10" s="67"/>
      <c r="B10" s="21">
        <v>7</v>
      </c>
      <c r="C10" s="44">
        <v>45281</v>
      </c>
      <c r="D10" s="45" t="s">
        <v>338</v>
      </c>
      <c r="E10" s="45" t="s">
        <v>59</v>
      </c>
      <c r="F10" s="45" t="s">
        <v>341</v>
      </c>
      <c r="G10" s="43" t="s">
        <v>339</v>
      </c>
      <c r="H10" s="42" t="s">
        <v>342</v>
      </c>
      <c r="I10" s="42" t="s">
        <v>340</v>
      </c>
      <c r="J10" s="47">
        <v>100000</v>
      </c>
      <c r="K10" s="41"/>
    </row>
    <row r="11" spans="1:11" x14ac:dyDescent="0.3">
      <c r="A11" s="67"/>
      <c r="B11" s="21">
        <v>8</v>
      </c>
      <c r="C11" s="44">
        <v>45286</v>
      </c>
      <c r="D11" s="43" t="s">
        <v>39</v>
      </c>
      <c r="E11" s="45" t="s">
        <v>41</v>
      </c>
      <c r="F11" s="45" t="s">
        <v>343</v>
      </c>
      <c r="G11" s="42"/>
      <c r="H11" s="42" t="s">
        <v>344</v>
      </c>
      <c r="I11" s="42"/>
      <c r="J11" s="47">
        <v>90000</v>
      </c>
      <c r="K11" s="41"/>
    </row>
    <row r="12" spans="1:11" ht="17.25" thickBot="1" x14ac:dyDescent="0.35">
      <c r="A12" s="68"/>
      <c r="B12" s="69" t="s">
        <v>30</v>
      </c>
      <c r="C12" s="70"/>
      <c r="D12" s="70"/>
      <c r="E12" s="70"/>
      <c r="F12" s="70"/>
      <c r="G12" s="70"/>
      <c r="H12" s="70"/>
      <c r="I12" s="70"/>
      <c r="J12" s="30">
        <f>SUM(J4:J11)</f>
        <v>770000</v>
      </c>
      <c r="K12" s="27"/>
    </row>
    <row r="13" spans="1:11" x14ac:dyDescent="0.3">
      <c r="A13" s="17" t="s">
        <v>20</v>
      </c>
      <c r="B13" s="18" t="s">
        <v>21</v>
      </c>
      <c r="C13" s="19" t="s">
        <v>22</v>
      </c>
      <c r="D13" s="18" t="s">
        <v>23</v>
      </c>
      <c r="E13" s="18" t="s">
        <v>24</v>
      </c>
      <c r="F13" s="18" t="s">
        <v>34</v>
      </c>
      <c r="G13" s="18" t="s">
        <v>38</v>
      </c>
      <c r="H13" s="18" t="s">
        <v>25</v>
      </c>
      <c r="I13" s="18" t="s">
        <v>26</v>
      </c>
      <c r="J13" s="18" t="s">
        <v>27</v>
      </c>
      <c r="K13" s="20" t="s">
        <v>28</v>
      </c>
    </row>
    <row r="14" spans="1:11" x14ac:dyDescent="0.3">
      <c r="A14" s="56" t="s">
        <v>31</v>
      </c>
      <c r="B14" s="22">
        <v>1</v>
      </c>
      <c r="C14" s="32">
        <v>45276</v>
      </c>
      <c r="D14" s="43" t="s">
        <v>328</v>
      </c>
      <c r="E14" s="43" t="s">
        <v>129</v>
      </c>
      <c r="F14" s="43" t="s">
        <v>329</v>
      </c>
      <c r="G14" s="43" t="s">
        <v>330</v>
      </c>
      <c r="H14" s="42" t="s">
        <v>331</v>
      </c>
      <c r="I14" s="42" t="s">
        <v>332</v>
      </c>
      <c r="J14" s="34">
        <v>90000</v>
      </c>
      <c r="K14" s="27"/>
    </row>
    <row r="15" spans="1:11" x14ac:dyDescent="0.3">
      <c r="A15" s="57"/>
      <c r="B15" s="22">
        <v>2</v>
      </c>
      <c r="C15" s="44"/>
      <c r="D15" s="45"/>
      <c r="E15" s="45"/>
      <c r="F15" s="45"/>
      <c r="G15" s="43"/>
      <c r="H15" s="42"/>
      <c r="I15" s="42"/>
      <c r="J15" s="47"/>
      <c r="K15" s="27"/>
    </row>
    <row r="16" spans="1:11" x14ac:dyDescent="0.3">
      <c r="A16" s="57"/>
      <c r="B16" s="22">
        <v>3</v>
      </c>
      <c r="C16" s="32"/>
      <c r="D16" s="43"/>
      <c r="E16" s="43"/>
      <c r="F16" s="43"/>
      <c r="G16" s="43"/>
      <c r="H16" s="42"/>
      <c r="I16" s="42"/>
      <c r="J16" s="34"/>
      <c r="K16" s="27"/>
    </row>
    <row r="17" spans="1:11" x14ac:dyDescent="0.3">
      <c r="A17" s="57"/>
      <c r="B17" s="22">
        <v>4</v>
      </c>
      <c r="C17" s="32"/>
      <c r="D17" s="43"/>
      <c r="E17" s="43"/>
      <c r="F17" s="43"/>
      <c r="G17" s="43"/>
      <c r="H17" s="42"/>
      <c r="I17" s="42"/>
      <c r="J17" s="34"/>
      <c r="K17" s="27"/>
    </row>
    <row r="18" spans="1:11" x14ac:dyDescent="0.3">
      <c r="A18" s="57"/>
      <c r="B18" s="22">
        <v>5</v>
      </c>
      <c r="C18" s="32"/>
      <c r="D18" s="43"/>
      <c r="E18" s="43"/>
      <c r="F18" s="31"/>
      <c r="G18" s="43"/>
      <c r="H18" s="23"/>
      <c r="I18" s="33"/>
      <c r="J18" s="34"/>
      <c r="K18" s="27"/>
    </row>
    <row r="19" spans="1:11" ht="17.25" thickBot="1" x14ac:dyDescent="0.35">
      <c r="A19" s="58"/>
      <c r="B19" s="59" t="s">
        <v>30</v>
      </c>
      <c r="C19" s="59"/>
      <c r="D19" s="59"/>
      <c r="E19" s="59"/>
      <c r="F19" s="59"/>
      <c r="G19" s="59"/>
      <c r="H19" s="59"/>
      <c r="I19" s="59"/>
      <c r="J19" s="28">
        <f>SUM(J14:J18)</f>
        <v>90000</v>
      </c>
      <c r="K19" s="27"/>
    </row>
    <row r="20" spans="1:11" x14ac:dyDescent="0.3">
      <c r="A20" s="17" t="s">
        <v>20</v>
      </c>
      <c r="B20" s="18" t="s">
        <v>21</v>
      </c>
      <c r="C20" s="19" t="s">
        <v>22</v>
      </c>
      <c r="D20" s="18" t="s">
        <v>23</v>
      </c>
      <c r="E20" s="18" t="s">
        <v>24</v>
      </c>
      <c r="F20" s="18" t="s">
        <v>34</v>
      </c>
      <c r="G20" s="18"/>
      <c r="H20" s="18" t="s">
        <v>25</v>
      </c>
      <c r="I20" s="18" t="s">
        <v>26</v>
      </c>
      <c r="J20" s="18" t="s">
        <v>27</v>
      </c>
      <c r="K20" s="20" t="s">
        <v>28</v>
      </c>
    </row>
    <row r="21" spans="1:11" x14ac:dyDescent="0.3">
      <c r="A21" s="56" t="s">
        <v>32</v>
      </c>
      <c r="B21" s="24"/>
      <c r="C21" s="26"/>
      <c r="D21" s="24"/>
      <c r="E21" s="24"/>
      <c r="F21" s="29"/>
      <c r="G21" s="29"/>
      <c r="H21" s="23"/>
      <c r="I21" s="24"/>
      <c r="J21" s="25"/>
      <c r="K21" s="27"/>
    </row>
    <row r="22" spans="1:11" x14ac:dyDescent="0.3">
      <c r="A22" s="57"/>
      <c r="B22" s="24"/>
      <c r="C22" s="26"/>
      <c r="D22" s="24"/>
      <c r="E22" s="24"/>
      <c r="F22" s="29"/>
      <c r="G22" s="29"/>
      <c r="H22" s="23"/>
      <c r="I22" s="24"/>
      <c r="J22" s="25"/>
      <c r="K22" s="27"/>
    </row>
    <row r="23" spans="1:11" x14ac:dyDescent="0.3">
      <c r="A23" s="58"/>
      <c r="B23" s="59" t="s">
        <v>30</v>
      </c>
      <c r="C23" s="59"/>
      <c r="D23" s="59"/>
      <c r="E23" s="59"/>
      <c r="F23" s="59"/>
      <c r="G23" s="59"/>
      <c r="H23" s="59"/>
      <c r="I23" s="59"/>
      <c r="J23" s="28">
        <f>SUM(J21:J22)</f>
        <v>0</v>
      </c>
      <c r="K23" s="27"/>
    </row>
    <row r="24" spans="1:11" ht="17.25" thickBot="1" x14ac:dyDescent="0.35">
      <c r="A24" s="60" t="s">
        <v>33</v>
      </c>
      <c r="B24" s="61"/>
      <c r="C24" s="61"/>
      <c r="D24" s="61"/>
      <c r="E24" s="61"/>
      <c r="F24" s="61"/>
      <c r="G24" s="61"/>
      <c r="H24" s="61"/>
      <c r="I24" s="62"/>
      <c r="J24" s="39">
        <f>SUM(J12,J19,J23)</f>
        <v>860000</v>
      </c>
      <c r="K24" s="40"/>
    </row>
  </sheetData>
  <mergeCells count="9">
    <mergeCell ref="A21:A23"/>
    <mergeCell ref="B23:I23"/>
    <mergeCell ref="A24:I24"/>
    <mergeCell ref="A1:K1"/>
    <mergeCell ref="J2:K2"/>
    <mergeCell ref="A4:A12"/>
    <mergeCell ref="B12:I12"/>
    <mergeCell ref="A14:A19"/>
    <mergeCell ref="B19:I19"/>
  </mergeCells>
  <phoneticPr fontId="4" type="noConversion"/>
  <pageMargins left="0.70866141732283472" right="0.70866141732283472" top="0.74803149606299213" bottom="0.74803149606299213" header="0.31496062992125984" footer="0.31496062992125984"/>
  <pageSetup paperSize="9" scale="6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"/>
  <sheetViews>
    <sheetView workbookViewId="0"/>
  </sheetViews>
  <sheetFormatPr defaultRowHeight="16.5" x14ac:dyDescent="0.3"/>
  <sheetData>
    <row r="1" spans="1:1" x14ac:dyDescent="0.3">
      <c r="A1" s="43" t="s">
        <v>147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총계</vt:lpstr>
      <vt:lpstr>3월</vt:lpstr>
      <vt:lpstr>4월</vt:lpstr>
      <vt:lpstr>5월</vt:lpstr>
      <vt:lpstr>6월</vt:lpstr>
      <vt:lpstr>7월</vt:lpstr>
      <vt:lpstr>8월</vt:lpstr>
      <vt:lpstr>9월</vt:lpstr>
      <vt:lpstr>10월</vt:lpstr>
      <vt:lpstr>11월</vt:lpstr>
      <vt:lpstr>12월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성광영</cp:lastModifiedBy>
  <cp:lastPrinted>2022-12-01T05:49:32Z</cp:lastPrinted>
  <dcterms:created xsi:type="dcterms:W3CDTF">2021-01-04T03:58:37Z</dcterms:created>
  <dcterms:modified xsi:type="dcterms:W3CDTF">2023-12-28T22:30:40Z</dcterms:modified>
</cp:coreProperties>
</file>