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G:\내 드라이브\성원플라워\거래내역서\노랑풍선\"/>
    </mc:Choice>
  </mc:AlternateContent>
  <bookViews>
    <workbookView xWindow="31080" yWindow="240" windowWidth="27570" windowHeight="14960" activeTab="2"/>
  </bookViews>
  <sheets>
    <sheet name="총계" sheetId="3" r:id="rId1"/>
    <sheet name="1월" sheetId="28" r:id="rId2"/>
    <sheet name="2월" sheetId="27" r:id="rId3"/>
    <sheet name="3월" sheetId="16" r:id="rId4"/>
    <sheet name="4월" sheetId="17" r:id="rId5"/>
    <sheet name="5월" sheetId="18" r:id="rId6"/>
    <sheet name="6월" sheetId="20" r:id="rId7"/>
    <sheet name="7월" sheetId="21" r:id="rId8"/>
    <sheet name="8월" sheetId="22" r:id="rId9"/>
    <sheet name="9월" sheetId="23" r:id="rId10"/>
    <sheet name="10월" sheetId="24" r:id="rId11"/>
    <sheet name="11월" sheetId="25" r:id="rId12"/>
    <sheet name="12월" sheetId="26" r:id="rId13"/>
    <sheet name="Sheet1" sheetId="19" r:id="rId1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26" l="1"/>
  <c r="J15" i="23" l="1"/>
  <c r="J12" i="22" l="1"/>
  <c r="B7" i="3" l="1"/>
  <c r="J33" i="28" l="1"/>
  <c r="J29" i="28"/>
  <c r="B6" i="3" s="1"/>
  <c r="J25" i="28"/>
  <c r="J36" i="27"/>
  <c r="J32" i="27"/>
  <c r="C6" i="3" s="1"/>
  <c r="J27" i="27"/>
  <c r="C5" i="3" s="1"/>
  <c r="J34" i="28" l="1"/>
  <c r="B8" i="3" s="1"/>
  <c r="B5" i="3"/>
  <c r="J37" i="27"/>
  <c r="C8" i="3" s="1"/>
  <c r="J29" i="26"/>
  <c r="J25" i="26"/>
  <c r="M6" i="3" s="1"/>
  <c r="M5" i="3"/>
  <c r="J30" i="26" l="1"/>
  <c r="M8" i="3" s="1"/>
  <c r="J28" i="25" l="1"/>
  <c r="J24" i="25"/>
  <c r="L6" i="3" s="1"/>
  <c r="J17" i="25"/>
  <c r="J29" i="25" l="1"/>
  <c r="L8" i="3" s="1"/>
  <c r="L5" i="3"/>
  <c r="J30" i="24"/>
  <c r="J26" i="24"/>
  <c r="K6" i="3" s="1"/>
  <c r="J19" i="24"/>
  <c r="K5" i="3" s="1"/>
  <c r="J31" i="24" l="1"/>
  <c r="K8" i="3" s="1"/>
  <c r="J26" i="23"/>
  <c r="J22" i="23"/>
  <c r="J6" i="3" s="1"/>
  <c r="J27" i="23" l="1"/>
  <c r="J8" i="3" s="1"/>
  <c r="J5" i="3"/>
  <c r="J23" i="22" l="1"/>
  <c r="J19" i="22"/>
  <c r="J24" i="22" l="1"/>
  <c r="I8" i="3" s="1"/>
  <c r="I5" i="3"/>
  <c r="J30" i="21"/>
  <c r="J26" i="21"/>
  <c r="H6" i="3" s="1"/>
  <c r="J19" i="21"/>
  <c r="J31" i="21" l="1"/>
  <c r="H8" i="3" s="1"/>
  <c r="H5" i="3"/>
  <c r="J30" i="20"/>
  <c r="J26" i="20"/>
  <c r="G6" i="3" s="1"/>
  <c r="J19" i="20"/>
  <c r="J31" i="20" l="1"/>
  <c r="G8" i="3" s="1"/>
  <c r="H9" i="3" s="1"/>
  <c r="G5" i="3"/>
  <c r="J33" i="18"/>
  <c r="F7" i="3" s="1"/>
  <c r="J29" i="18"/>
  <c r="F6" i="3"/>
  <c r="J22" i="18"/>
  <c r="F5" i="3" s="1"/>
  <c r="J29" i="17"/>
  <c r="J33" i="17"/>
  <c r="E6" i="3" s="1"/>
  <c r="J37" i="17"/>
  <c r="E7" i="3"/>
  <c r="J22" i="16"/>
  <c r="J31" i="16" s="1"/>
  <c r="D8" i="3" s="1"/>
  <c r="D9" i="3" s="1"/>
  <c r="J26" i="16"/>
  <c r="D6" i="3" s="1"/>
  <c r="J30" i="16"/>
  <c r="D7" i="3" s="1"/>
  <c r="J9" i="3"/>
  <c r="I9" i="3"/>
  <c r="M9" i="3"/>
  <c r="L9" i="3"/>
  <c r="K9" i="3"/>
  <c r="C9" i="3"/>
  <c r="J34" i="18" l="1"/>
  <c r="F8" i="3" s="1"/>
  <c r="G9" i="3" s="1"/>
  <c r="J38" i="17"/>
  <c r="E8" i="3" s="1"/>
  <c r="N6" i="3"/>
  <c r="N7" i="3"/>
  <c r="E5" i="3"/>
  <c r="D5" i="3"/>
  <c r="N8" i="3" l="1"/>
  <c r="E9" i="3"/>
  <c r="F9" i="3"/>
  <c r="N5" i="3"/>
</calcChain>
</file>

<file path=xl/sharedStrings.xml><?xml version="1.0" encoding="utf-8"?>
<sst xmlns="http://schemas.openxmlformats.org/spreadsheetml/2006/main" count="1171" uniqueCount="621">
  <si>
    <t>구분</t>
  </si>
  <si>
    <t>VAT 비대상</t>
    <phoneticPr fontId="4" type="noConversion"/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</si>
  <si>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</si>
  <si>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</si>
  <si>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</si>
  <si>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</si>
  <si>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</si>
  <si>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</si>
  <si>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</si>
  <si>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</si>
  <si>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</si>
  <si>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</si>
  <si>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</si>
  <si>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</si>
  <si>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합계</t>
  </si>
  <si>
    <t>거래처
(접대비)</t>
    <phoneticPr fontId="4" type="noConversion"/>
  </si>
  <si>
    <t>임직원
(복리후생비/경조금)</t>
    <phoneticPr fontId="4" type="noConversion"/>
  </si>
  <si>
    <t>사내조경
(소모품비)</t>
    <phoneticPr fontId="4" type="noConversion"/>
  </si>
  <si>
    <t>전월 대비 증감액</t>
    <phoneticPr fontId="4" type="noConversion"/>
  </si>
  <si>
    <t>단위:원(VAT 비대상)</t>
    <phoneticPr fontId="4" type="noConversion"/>
  </si>
  <si>
    <t>구분</t>
    <phoneticPr fontId="4" type="noConversion"/>
  </si>
  <si>
    <t>No</t>
    <phoneticPr fontId="4" type="noConversion"/>
  </si>
  <si>
    <t>배달일자</t>
    <phoneticPr fontId="4" type="noConversion"/>
  </si>
  <si>
    <t>상품명</t>
    <phoneticPr fontId="4" type="noConversion"/>
  </si>
  <si>
    <t>발주자</t>
    <phoneticPr fontId="4" type="noConversion"/>
  </si>
  <si>
    <t>요청팀</t>
    <phoneticPr fontId="4" type="noConversion"/>
  </si>
  <si>
    <t>수령인</t>
    <phoneticPr fontId="4" type="noConversion"/>
  </si>
  <si>
    <t>금액</t>
    <phoneticPr fontId="4" type="noConversion"/>
  </si>
  <si>
    <t>비고</t>
    <phoneticPr fontId="4" type="noConversion"/>
  </si>
  <si>
    <t>거래처</t>
    <phoneticPr fontId="4" type="noConversion"/>
  </si>
  <si>
    <t>소    계</t>
    <phoneticPr fontId="4" type="noConversion"/>
  </si>
  <si>
    <t>임직원</t>
    <phoneticPr fontId="4" type="noConversion"/>
  </si>
  <si>
    <t>사내
조경</t>
    <phoneticPr fontId="4" type="noConversion"/>
  </si>
  <si>
    <t>합    계</t>
    <phoneticPr fontId="4" type="noConversion"/>
  </si>
  <si>
    <t>배송지</t>
    <phoneticPr fontId="4" type="noConversion"/>
  </si>
  <si>
    <t>거래처 명</t>
    <phoneticPr fontId="4" type="noConversion"/>
  </si>
  <si>
    <t>사유</t>
    <phoneticPr fontId="4" type="noConversion"/>
  </si>
  <si>
    <t>이상훈</t>
    <phoneticPr fontId="4" type="noConversion"/>
  </si>
  <si>
    <t>싱가포르 항공</t>
    <phoneticPr fontId="4" type="noConversion"/>
  </si>
  <si>
    <t>이상훈</t>
    <phoneticPr fontId="4" type="noConversion"/>
  </si>
  <si>
    <t>근조화환</t>
    <phoneticPr fontId="4" type="noConversion"/>
  </si>
  <si>
    <t>축하화환</t>
    <phoneticPr fontId="4" type="noConversion"/>
  </si>
  <si>
    <t>근조화환</t>
    <phoneticPr fontId="4" type="noConversion"/>
  </si>
  <si>
    <t>이상훈</t>
    <phoneticPr fontId="4" type="noConversion"/>
  </si>
  <si>
    <t>이상훈</t>
    <phoneticPr fontId="4" type="noConversion"/>
  </si>
  <si>
    <t>근조화환</t>
    <phoneticPr fontId="4" type="noConversion"/>
  </si>
  <si>
    <t>축하화환</t>
    <phoneticPr fontId="4" type="noConversion"/>
  </si>
  <si>
    <t>이상훈</t>
    <phoneticPr fontId="4" type="noConversion"/>
  </si>
  <si>
    <t>경조 화환</t>
    <phoneticPr fontId="4" type="noConversion"/>
  </si>
  <si>
    <t>축하화환</t>
    <phoneticPr fontId="4" type="noConversion"/>
  </si>
  <si>
    <t>이상훈</t>
    <phoneticPr fontId="4" type="noConversion"/>
  </si>
  <si>
    <t>부산상품팀</t>
    <phoneticPr fontId="4" type="noConversion"/>
  </si>
  <si>
    <t>이상훈</t>
    <phoneticPr fontId="4" type="noConversion"/>
  </si>
  <si>
    <t>근조화환</t>
    <phoneticPr fontId="4" type="noConversion"/>
  </si>
  <si>
    <t>동양난</t>
    <phoneticPr fontId="4" type="noConversion"/>
  </si>
  <si>
    <t>축하화환</t>
    <phoneticPr fontId="4" type="noConversion"/>
  </si>
  <si>
    <t>이상훈</t>
    <phoneticPr fontId="4" type="noConversion"/>
  </si>
  <si>
    <t>홍보팀</t>
    <phoneticPr fontId="4" type="noConversion"/>
  </si>
  <si>
    <t>이상훈</t>
    <phoneticPr fontId="4" type="noConversion"/>
  </si>
  <si>
    <t>근조화환</t>
    <phoneticPr fontId="4" type="noConversion"/>
  </si>
  <si>
    <t>박상욱</t>
    <phoneticPr fontId="4" type="noConversion"/>
  </si>
  <si>
    <t xml:space="preserve"> 202년 3월 경조화환 발주 내역 </t>
    <phoneticPr fontId="4" type="noConversion"/>
  </si>
  <si>
    <t xml:space="preserve"> 2025년 4월 경조화환 발주 내역 </t>
    <phoneticPr fontId="4" type="noConversion"/>
  </si>
  <si>
    <t xml:space="preserve"> 2025년 5월 경조화환 발주 내역 </t>
    <phoneticPr fontId="4" type="noConversion"/>
  </si>
  <si>
    <t xml:space="preserve"> 2025년 6월 경조화환 발주 내역 </t>
    <phoneticPr fontId="4" type="noConversion"/>
  </si>
  <si>
    <t xml:space="preserve"> 2025년 7월 경조화환 발주 내역 </t>
    <phoneticPr fontId="4" type="noConversion"/>
  </si>
  <si>
    <t xml:space="preserve"> 2025년 8월 경조화환 발주 내역 </t>
    <phoneticPr fontId="4" type="noConversion"/>
  </si>
  <si>
    <t xml:space="preserve"> 2025년 9월 경조화환 발주 내역 </t>
    <phoneticPr fontId="4" type="noConversion"/>
  </si>
  <si>
    <t xml:space="preserve"> 2025년 10월 경조화환 발주 내역 </t>
    <phoneticPr fontId="4" type="noConversion"/>
  </si>
  <si>
    <t xml:space="preserve"> 2025년 11월 경조화환 발주 내역 </t>
    <phoneticPr fontId="4" type="noConversion"/>
  </si>
  <si>
    <t xml:space="preserve"> 2025년 12월 경조화환 발주 내역 </t>
    <phoneticPr fontId="4" type="noConversion"/>
  </si>
  <si>
    <t>필리핀항공</t>
    <phoneticPr fontId="4" type="noConversion"/>
  </si>
  <si>
    <t>항공기획팀</t>
    <phoneticPr fontId="4" type="noConversion"/>
  </si>
  <si>
    <t>대한항공</t>
    <phoneticPr fontId="4" type="noConversion"/>
  </si>
  <si>
    <t>고려대 안암병원 장례식장</t>
    <phoneticPr fontId="4" type="noConversion"/>
  </si>
  <si>
    <t>동양난</t>
    <phoneticPr fontId="4" type="noConversion"/>
  </si>
  <si>
    <t>유럽4팀</t>
    <phoneticPr fontId="4" type="noConversion"/>
  </si>
  <si>
    <t>축하화환</t>
    <phoneticPr fontId="4" type="noConversion"/>
  </si>
  <si>
    <t>이상훈</t>
    <phoneticPr fontId="4" type="noConversion"/>
  </si>
  <si>
    <t>수원법원종합청사 가인홀</t>
    <phoneticPr fontId="4" type="noConversion"/>
  </si>
  <si>
    <t>본인결혼</t>
    <phoneticPr fontId="4" type="noConversion"/>
  </si>
  <si>
    <t>괌/사이판팀</t>
    <phoneticPr fontId="4" type="noConversion"/>
  </si>
  <si>
    <t>이지은</t>
    <phoneticPr fontId="4" type="noConversion"/>
  </si>
  <si>
    <t>근조스탠드</t>
    <phoneticPr fontId="4" type="noConversion"/>
  </si>
  <si>
    <t>이상훈</t>
    <phoneticPr fontId="4" type="noConversion"/>
  </si>
  <si>
    <t>건국대병원장례식장</t>
    <phoneticPr fontId="4" type="noConversion"/>
  </si>
  <si>
    <t>김진국</t>
    <phoneticPr fontId="4" type="noConversion"/>
  </si>
  <si>
    <t>김진국</t>
    <phoneticPr fontId="4" type="noConversion"/>
  </si>
  <si>
    <t>김진국</t>
    <phoneticPr fontId="4" type="noConversion"/>
  </si>
  <si>
    <t>근조화환</t>
    <phoneticPr fontId="4" type="noConversion"/>
  </si>
  <si>
    <t>근조화환</t>
    <phoneticPr fontId="4" type="noConversion"/>
  </si>
  <si>
    <t>근조화환</t>
    <phoneticPr fontId="4" type="noConversion"/>
  </si>
  <si>
    <t>이상훈</t>
    <phoneticPr fontId="4" type="noConversion"/>
  </si>
  <si>
    <t>이상훈</t>
    <phoneticPr fontId="4" type="noConversion"/>
  </si>
  <si>
    <t>노랑풍선 재팬</t>
    <phoneticPr fontId="4" type="noConversion"/>
  </si>
  <si>
    <t>노랑풍선시티버스</t>
    <phoneticPr fontId="4" type="noConversion"/>
  </si>
  <si>
    <t>화분</t>
    <phoneticPr fontId="4" type="noConversion"/>
  </si>
  <si>
    <t>이상훈</t>
    <phoneticPr fontId="4" type="noConversion"/>
  </si>
  <si>
    <t>에어서울</t>
    <phoneticPr fontId="4" type="noConversion"/>
  </si>
  <si>
    <t>동남아5팀</t>
    <phoneticPr fontId="4" type="noConversion"/>
  </si>
  <si>
    <t>이영진</t>
    <phoneticPr fontId="4" type="noConversion"/>
  </si>
  <si>
    <t>에어서울</t>
    <phoneticPr fontId="4" type="noConversion"/>
  </si>
  <si>
    <t>축하화환</t>
    <phoneticPr fontId="4" type="noConversion"/>
  </si>
  <si>
    <t>센텀사이언스파크 웨딩홀</t>
    <phoneticPr fontId="4" type="noConversion"/>
  </si>
  <si>
    <t>중화항공</t>
    <phoneticPr fontId="4" type="noConversion"/>
  </si>
  <si>
    <t>부산상품팀</t>
    <phoneticPr fontId="4" type="noConversion"/>
  </si>
  <si>
    <t>정애리</t>
    <phoneticPr fontId="4" type="noConversion"/>
  </si>
  <si>
    <t>동양난</t>
    <phoneticPr fontId="4" type="noConversion"/>
  </si>
  <si>
    <t>김현숙 부사장</t>
    <phoneticPr fontId="4" type="noConversion"/>
  </si>
  <si>
    <t>대정읍 신평리 371-3</t>
    <phoneticPr fontId="4" type="noConversion"/>
  </si>
  <si>
    <t>박정환</t>
    <phoneticPr fontId="4" type="noConversion"/>
  </si>
  <si>
    <t>근조화환</t>
    <phoneticPr fontId="4" type="noConversion"/>
  </si>
  <si>
    <t>이상훈</t>
    <phoneticPr fontId="4" type="noConversion"/>
  </si>
  <si>
    <t>은평성모병원장례식장</t>
    <phoneticPr fontId="4" type="noConversion"/>
  </si>
  <si>
    <t>미주/남태평양팀</t>
    <phoneticPr fontId="4" type="noConversion"/>
  </si>
  <si>
    <t>형송민</t>
    <phoneticPr fontId="4" type="noConversion"/>
  </si>
  <si>
    <t>대리점항공영업팀</t>
    <phoneticPr fontId="4" type="noConversion"/>
  </si>
  <si>
    <t>축하화환</t>
    <phoneticPr fontId="4" type="noConversion"/>
  </si>
  <si>
    <t>울주군  더엠컨벤션 피에스타홀</t>
    <phoneticPr fontId="4" type="noConversion"/>
  </si>
  <si>
    <t>본인결혼</t>
    <phoneticPr fontId="4" type="noConversion"/>
  </si>
  <si>
    <t>해외항공발권팀</t>
    <phoneticPr fontId="4" type="noConversion"/>
  </si>
  <si>
    <t>박가을</t>
    <phoneticPr fontId="4" type="noConversion"/>
  </si>
  <si>
    <t>당진중앙장례식장</t>
    <phoneticPr fontId="4" type="noConversion"/>
  </si>
  <si>
    <t>라파엘여행사</t>
    <phoneticPr fontId="4" type="noConversion"/>
  </si>
  <si>
    <t>유재구</t>
    <phoneticPr fontId="4" type="noConversion"/>
  </si>
  <si>
    <t>동양난</t>
    <phoneticPr fontId="4" type="noConversion"/>
  </si>
  <si>
    <t>하나투어</t>
    <phoneticPr fontId="4" type="noConversion"/>
  </si>
  <si>
    <t>김혁진 부사장</t>
    <phoneticPr fontId="4" type="noConversion"/>
  </si>
  <si>
    <t>류창호</t>
    <phoneticPr fontId="4" type="noConversion"/>
  </si>
  <si>
    <t>이상훈</t>
    <phoneticPr fontId="4" type="noConversion"/>
  </si>
  <si>
    <t>더에이밍커뮤케이션</t>
    <phoneticPr fontId="4" type="noConversion"/>
  </si>
  <si>
    <t>더에이밍커뮤니케이션</t>
    <phoneticPr fontId="4" type="noConversion"/>
  </si>
  <si>
    <t>유럽1팀</t>
    <phoneticPr fontId="4" type="noConversion"/>
  </si>
  <si>
    <t>이신애</t>
    <phoneticPr fontId="4" type="noConversion"/>
  </si>
  <si>
    <t>이상훈</t>
    <phoneticPr fontId="4" type="noConversion"/>
  </si>
  <si>
    <t>이대서울병원</t>
    <phoneticPr fontId="4" type="noConversion"/>
  </si>
  <si>
    <t>근조화환</t>
    <phoneticPr fontId="4" type="noConversion"/>
  </si>
  <si>
    <t>용인장례식장</t>
    <phoneticPr fontId="4" type="noConversion"/>
  </si>
  <si>
    <t>맥아더글렌</t>
    <phoneticPr fontId="4" type="noConversion"/>
  </si>
  <si>
    <t>이현정</t>
    <phoneticPr fontId="4" type="noConversion"/>
  </si>
  <si>
    <t>서양난</t>
    <phoneticPr fontId="4" type="noConversion"/>
  </si>
  <si>
    <t>이상훈</t>
    <phoneticPr fontId="4" type="noConversion"/>
  </si>
  <si>
    <t>부산 진에어</t>
    <phoneticPr fontId="4" type="noConversion"/>
  </si>
  <si>
    <t>진에어</t>
    <phoneticPr fontId="4" type="noConversion"/>
  </si>
  <si>
    <t>김혜정</t>
    <phoneticPr fontId="4" type="noConversion"/>
  </si>
  <si>
    <t>부산상품팀</t>
    <phoneticPr fontId="4" type="noConversion"/>
  </si>
  <si>
    <t>선완성</t>
    <phoneticPr fontId="4" type="noConversion"/>
  </si>
  <si>
    <t>쌀화환</t>
    <phoneticPr fontId="4" type="noConversion"/>
  </si>
  <si>
    <t>모두투어 양평점</t>
    <phoneticPr fontId="4" type="noConversion"/>
  </si>
  <si>
    <t>김현숙</t>
    <phoneticPr fontId="4" type="noConversion"/>
  </si>
  <si>
    <t>동양난</t>
    <phoneticPr fontId="4" type="noConversion"/>
  </si>
  <si>
    <t>에어부산 국제영업팀</t>
    <phoneticPr fontId="4" type="noConversion"/>
  </si>
  <si>
    <t>에어부산</t>
    <phoneticPr fontId="4" type="noConversion"/>
  </si>
  <si>
    <t>부산상품탐</t>
    <phoneticPr fontId="4" type="noConversion"/>
  </si>
  <si>
    <t>김희진</t>
    <phoneticPr fontId="4" type="noConversion"/>
  </si>
  <si>
    <t>김다희</t>
    <phoneticPr fontId="4" type="noConversion"/>
  </si>
  <si>
    <t>축하화환</t>
    <phoneticPr fontId="4" type="noConversion"/>
  </si>
  <si>
    <t>여의도웨팅컨벤션</t>
    <phoneticPr fontId="4" type="noConversion"/>
  </si>
  <si>
    <t>본인결혼</t>
    <phoneticPr fontId="4" type="noConversion"/>
  </si>
  <si>
    <t>경영기획팀</t>
    <phoneticPr fontId="4" type="noConversion"/>
  </si>
  <si>
    <t>한지호</t>
    <phoneticPr fontId="4" type="noConversion"/>
  </si>
  <si>
    <t>근조화환</t>
    <phoneticPr fontId="4" type="noConversion"/>
  </si>
  <si>
    <t>이상훈</t>
    <phoneticPr fontId="4" type="noConversion"/>
  </si>
  <si>
    <t>신촌 세브란스병원장례식장</t>
    <phoneticPr fontId="4" type="noConversion"/>
  </si>
  <si>
    <t>세계비즈앤스포츠월드</t>
    <phoneticPr fontId="4" type="noConversion"/>
  </si>
  <si>
    <t>전경우</t>
    <phoneticPr fontId="4" type="noConversion"/>
  </si>
  <si>
    <t>축하화환</t>
    <phoneticPr fontId="4" type="noConversion"/>
  </si>
  <si>
    <t>제주 메종그랠드호텔 컨벤션</t>
    <phoneticPr fontId="4" type="noConversion"/>
  </si>
  <si>
    <t>부민가자투어</t>
    <phoneticPr fontId="4" type="noConversion"/>
  </si>
  <si>
    <t>제주팀</t>
    <phoneticPr fontId="4" type="noConversion"/>
  </si>
  <si>
    <t>부창우</t>
    <phoneticPr fontId="4" type="noConversion"/>
  </si>
  <si>
    <t>화분</t>
    <phoneticPr fontId="4" type="noConversion"/>
  </si>
  <si>
    <t>박상욱</t>
    <phoneticPr fontId="4" type="noConversion"/>
  </si>
  <si>
    <t>베스트 아시아</t>
    <phoneticPr fontId="4" type="noConversion"/>
  </si>
  <si>
    <t>베스트아시아</t>
    <phoneticPr fontId="4" type="noConversion"/>
  </si>
  <si>
    <t>강병걸</t>
    <phoneticPr fontId="4" type="noConversion"/>
  </si>
  <si>
    <t>미방항운</t>
    <phoneticPr fontId="4" type="noConversion"/>
  </si>
  <si>
    <t>미방항운</t>
    <phoneticPr fontId="4" type="noConversion"/>
  </si>
  <si>
    <t>김성수</t>
    <phoneticPr fontId="4" type="noConversion"/>
  </si>
  <si>
    <t>양성윤</t>
    <phoneticPr fontId="4" type="noConversion"/>
  </si>
  <si>
    <t>미방항운</t>
    <phoneticPr fontId="4" type="noConversion"/>
  </si>
  <si>
    <t>미방항운</t>
    <phoneticPr fontId="4" type="noConversion"/>
  </si>
  <si>
    <t>동양난</t>
    <phoneticPr fontId="4" type="noConversion"/>
  </si>
  <si>
    <t>박상욱</t>
    <phoneticPr fontId="4" type="noConversion"/>
  </si>
  <si>
    <t>박상욱</t>
    <phoneticPr fontId="4" type="noConversion"/>
  </si>
  <si>
    <t>근조</t>
    <phoneticPr fontId="4" type="noConversion"/>
  </si>
  <si>
    <t xml:space="preserve">쉴낙원 당진장례식장 </t>
    <phoneticPr fontId="4" type="noConversion"/>
  </si>
  <si>
    <t>제이케이</t>
    <phoneticPr fontId="4" type="noConversion"/>
  </si>
  <si>
    <t>동남아5팀</t>
    <phoneticPr fontId="4" type="noConversion"/>
  </si>
  <si>
    <t>인서영</t>
    <phoneticPr fontId="4" type="noConversion"/>
  </si>
  <si>
    <t>화분</t>
    <phoneticPr fontId="4" type="noConversion"/>
  </si>
  <si>
    <t>박상욱</t>
    <phoneticPr fontId="4" type="noConversion"/>
  </si>
  <si>
    <t>본사</t>
    <phoneticPr fontId="4" type="noConversion"/>
  </si>
  <si>
    <t>부사장님</t>
    <phoneticPr fontId="4" type="noConversion"/>
  </si>
  <si>
    <t>근조</t>
    <phoneticPr fontId="4" type="noConversion"/>
  </si>
  <si>
    <t>이상훈</t>
    <phoneticPr fontId="4" type="noConversion"/>
  </si>
  <si>
    <t>양산부산대병원 장례식장</t>
    <phoneticPr fontId="4" type="noConversion"/>
  </si>
  <si>
    <t>김현숙 부사장</t>
    <phoneticPr fontId="4" type="noConversion"/>
  </si>
  <si>
    <t>박영배</t>
    <phoneticPr fontId="4" type="noConversion"/>
  </si>
  <si>
    <t>화분</t>
    <phoneticPr fontId="4" type="noConversion"/>
  </si>
  <si>
    <t>아일리스프런티어</t>
    <phoneticPr fontId="4" type="noConversion"/>
  </si>
  <si>
    <t>아일리스프런티어</t>
    <phoneticPr fontId="4" type="noConversion"/>
  </si>
  <si>
    <t>총무팀</t>
    <phoneticPr fontId="4" type="noConversion"/>
  </si>
  <si>
    <t>근조</t>
    <phoneticPr fontId="4" type="noConversion"/>
  </si>
  <si>
    <t>고려대 구로병원장례식장</t>
    <phoneticPr fontId="4" type="noConversion"/>
  </si>
  <si>
    <t>김현숙 부사장</t>
    <phoneticPr fontId="4" type="noConversion"/>
  </si>
  <si>
    <t>백용수</t>
    <phoneticPr fontId="4" type="noConversion"/>
  </si>
  <si>
    <t>근조</t>
    <phoneticPr fontId="4" type="noConversion"/>
  </si>
  <si>
    <t>철원병원장례식장</t>
    <phoneticPr fontId="4" type="noConversion"/>
  </si>
  <si>
    <t>뉴스웨이</t>
    <phoneticPr fontId="4" type="noConversion"/>
  </si>
  <si>
    <t>정헌철</t>
    <phoneticPr fontId="4" type="noConversion"/>
  </si>
  <si>
    <t>루이비스웨딩홀</t>
    <phoneticPr fontId="4" type="noConversion"/>
  </si>
  <si>
    <t>일본2팀</t>
    <phoneticPr fontId="4" type="noConversion"/>
  </si>
  <si>
    <t>윤정유</t>
    <phoneticPr fontId="4" type="noConversion"/>
  </si>
  <si>
    <t>근조화환</t>
    <phoneticPr fontId="4" type="noConversion"/>
  </si>
  <si>
    <t>이상훈</t>
    <phoneticPr fontId="4" type="noConversion"/>
  </si>
  <si>
    <t>김포우리병원장례식장</t>
    <phoneticPr fontId="4" type="noConversion"/>
  </si>
  <si>
    <t>부천장례식장</t>
    <phoneticPr fontId="4" type="noConversion"/>
  </si>
  <si>
    <t>근조화환</t>
    <phoneticPr fontId="4" type="noConversion"/>
  </si>
  <si>
    <t>이상훈</t>
    <phoneticPr fontId="4" type="noConversion"/>
  </si>
  <si>
    <t>대한항공</t>
    <phoneticPr fontId="4" type="noConversion"/>
  </si>
  <si>
    <t>대한항공</t>
    <phoneticPr fontId="4" type="noConversion"/>
  </si>
  <si>
    <t>동양난</t>
    <phoneticPr fontId="4" type="noConversion"/>
  </si>
  <si>
    <t>이상훈</t>
    <phoneticPr fontId="4" type="noConversion"/>
  </si>
  <si>
    <t>유럽3팀</t>
    <phoneticPr fontId="4" type="noConversion"/>
  </si>
  <si>
    <t>허민석</t>
    <phoneticPr fontId="4" type="noConversion"/>
  </si>
  <si>
    <t>윤상현</t>
    <phoneticPr fontId="4" type="noConversion"/>
  </si>
  <si>
    <t>서광원</t>
    <phoneticPr fontId="4" type="noConversion"/>
  </si>
  <si>
    <t>괌/사이판팀</t>
    <phoneticPr fontId="4" type="noConversion"/>
  </si>
  <si>
    <t>사이판 MRI호텔</t>
    <phoneticPr fontId="4" type="noConversion"/>
  </si>
  <si>
    <t>근조화환</t>
    <phoneticPr fontId="4" type="noConversion"/>
  </si>
  <si>
    <t>이상훈</t>
    <phoneticPr fontId="4" type="noConversion"/>
  </si>
  <si>
    <t>정읍장례문화원</t>
    <phoneticPr fontId="4" type="noConversion"/>
  </si>
  <si>
    <t>신용철</t>
    <phoneticPr fontId="4" type="noConversion"/>
  </si>
  <si>
    <t>축하화환</t>
    <phoneticPr fontId="4" type="noConversion"/>
  </si>
  <si>
    <t>이상훈</t>
    <phoneticPr fontId="4" type="noConversion"/>
  </si>
  <si>
    <t>엘리에나 호텔</t>
    <phoneticPr fontId="4" type="noConversion"/>
  </si>
  <si>
    <t>라파엘여행사</t>
    <phoneticPr fontId="4" type="noConversion"/>
  </si>
  <si>
    <t>대리점항공영업팀</t>
    <phoneticPr fontId="4" type="noConversion"/>
  </si>
  <si>
    <t>유재구</t>
    <phoneticPr fontId="4" type="noConversion"/>
  </si>
  <si>
    <t>근조화환</t>
    <phoneticPr fontId="4" type="noConversion"/>
  </si>
  <si>
    <t>동양난</t>
    <phoneticPr fontId="4" type="noConversion"/>
  </si>
  <si>
    <t>PAA 항공</t>
    <phoneticPr fontId="4" type="noConversion"/>
  </si>
  <si>
    <t>PAA 항공</t>
    <phoneticPr fontId="4" type="noConversion"/>
  </si>
  <si>
    <t>은평성모병원장례식장</t>
    <phoneticPr fontId="4" type="noConversion"/>
  </si>
  <si>
    <t>에티하드항공</t>
    <phoneticPr fontId="4" type="noConversion"/>
  </si>
  <si>
    <t>민경삼</t>
    <phoneticPr fontId="4" type="noConversion"/>
  </si>
  <si>
    <t>임창현</t>
    <phoneticPr fontId="4" type="noConversion"/>
  </si>
  <si>
    <t>안진문</t>
    <phoneticPr fontId="4" type="noConversion"/>
  </si>
  <si>
    <t>부산 W웨딩시티</t>
    <phoneticPr fontId="4" type="noConversion"/>
  </si>
  <si>
    <t>더투어네트웍스</t>
    <phoneticPr fontId="4" type="noConversion"/>
  </si>
  <si>
    <t>부산상품팀</t>
    <phoneticPr fontId="4" type="noConversion"/>
  </si>
  <si>
    <t>최아름</t>
    <phoneticPr fontId="4" type="noConversion"/>
  </si>
  <si>
    <t>동양난</t>
    <phoneticPr fontId="4" type="noConversion"/>
  </si>
  <si>
    <t>이상훈</t>
    <phoneticPr fontId="4" type="noConversion"/>
  </si>
  <si>
    <t>티웨이항공</t>
    <phoneticPr fontId="4" type="noConversion"/>
  </si>
  <si>
    <t>티웨이항공</t>
    <phoneticPr fontId="4" type="noConversion"/>
  </si>
  <si>
    <t>동남아1팀</t>
    <phoneticPr fontId="4" type="noConversion"/>
  </si>
  <si>
    <t>이상윤</t>
    <phoneticPr fontId="4" type="noConversion"/>
  </si>
  <si>
    <t>서동빈</t>
    <phoneticPr fontId="4" type="noConversion"/>
  </si>
  <si>
    <t>안우진</t>
    <phoneticPr fontId="4" type="noConversion"/>
  </si>
  <si>
    <t>근조화환</t>
    <phoneticPr fontId="4" type="noConversion"/>
  </si>
  <si>
    <t>이상훈</t>
    <phoneticPr fontId="4" type="noConversion"/>
  </si>
  <si>
    <t>부산의료원</t>
    <phoneticPr fontId="4" type="noConversion"/>
  </si>
  <si>
    <t>동양난</t>
    <phoneticPr fontId="4" type="noConversion"/>
  </si>
  <si>
    <t>현대카드</t>
    <phoneticPr fontId="4" type="noConversion"/>
  </si>
  <si>
    <t>현대카드</t>
    <phoneticPr fontId="4" type="noConversion"/>
  </si>
  <si>
    <t>항공기획팀</t>
    <phoneticPr fontId="4" type="noConversion"/>
  </si>
  <si>
    <t>류창완</t>
    <phoneticPr fontId="4" type="noConversion"/>
  </si>
  <si>
    <t>이재현</t>
    <phoneticPr fontId="4" type="noConversion"/>
  </si>
  <si>
    <t>에어부산</t>
    <phoneticPr fontId="4" type="noConversion"/>
  </si>
  <si>
    <t>이상훈</t>
    <phoneticPr fontId="4" type="noConversion"/>
  </si>
  <si>
    <t>분당서울대병원</t>
    <phoneticPr fontId="4" type="noConversion"/>
  </si>
  <si>
    <t>김지인</t>
    <phoneticPr fontId="4" type="noConversion"/>
  </si>
  <si>
    <t>근조화환</t>
    <phoneticPr fontId="4" type="noConversion"/>
  </si>
  <si>
    <t>이상훈</t>
    <phoneticPr fontId="4" type="noConversion"/>
  </si>
  <si>
    <t>제주 부민장례식장</t>
    <phoneticPr fontId="4" type="noConversion"/>
  </si>
  <si>
    <t>제주항공</t>
    <phoneticPr fontId="4" type="noConversion"/>
  </si>
  <si>
    <t>김동연</t>
    <phoneticPr fontId="4" type="noConversion"/>
  </si>
  <si>
    <t>이재곤</t>
    <phoneticPr fontId="4" type="noConversion"/>
  </si>
  <si>
    <t>김현숙 부사장</t>
    <phoneticPr fontId="4" type="noConversion"/>
  </si>
  <si>
    <t>경기대 수원캠퍼스</t>
    <phoneticPr fontId="4" type="noConversion"/>
  </si>
  <si>
    <t>동양난</t>
    <phoneticPr fontId="4" type="noConversion"/>
  </si>
  <si>
    <t>이상훈</t>
    <phoneticPr fontId="4" type="noConversion"/>
  </si>
  <si>
    <t>인천세종병원 장례식장</t>
    <phoneticPr fontId="4" type="noConversion"/>
  </si>
  <si>
    <t>그랜드컨벤션</t>
    <phoneticPr fontId="4" type="noConversion"/>
  </si>
  <si>
    <t>축하화환</t>
    <phoneticPr fontId="4" type="noConversion"/>
  </si>
  <si>
    <t>본인결혼</t>
    <phoneticPr fontId="4" type="noConversion"/>
  </si>
  <si>
    <t>이상훈</t>
    <phoneticPr fontId="4" type="noConversion"/>
  </si>
  <si>
    <t>ANA항공</t>
    <phoneticPr fontId="4" type="noConversion"/>
  </si>
  <si>
    <t>ANA</t>
    <phoneticPr fontId="4" type="noConversion"/>
  </si>
  <si>
    <t>항공기획팀</t>
    <phoneticPr fontId="4" type="noConversion"/>
  </si>
  <si>
    <t>김세희</t>
    <phoneticPr fontId="4" type="noConversion"/>
  </si>
  <si>
    <t>동남아3팀</t>
    <phoneticPr fontId="4" type="noConversion"/>
  </si>
  <si>
    <t>이우정</t>
    <phoneticPr fontId="4" type="noConversion"/>
  </si>
  <si>
    <t>티웨이항공</t>
    <phoneticPr fontId="4" type="noConversion"/>
  </si>
  <si>
    <t>양성식</t>
    <phoneticPr fontId="4" type="noConversion"/>
  </si>
  <si>
    <t>근조화환</t>
    <phoneticPr fontId="4" type="noConversion"/>
  </si>
  <si>
    <t>신촌 세브란스</t>
    <phoneticPr fontId="4" type="noConversion"/>
  </si>
  <si>
    <t>진에어</t>
    <phoneticPr fontId="4" type="noConversion"/>
  </si>
  <si>
    <t>이현수</t>
    <phoneticPr fontId="4" type="noConversion"/>
  </si>
  <si>
    <t>서울성모병원 장례식장</t>
    <phoneticPr fontId="4" type="noConversion"/>
  </si>
  <si>
    <t>Onnx 본사</t>
    <phoneticPr fontId="4" type="noConversion"/>
  </si>
  <si>
    <t>호텔/엑티비티공급팀</t>
    <phoneticPr fontId="4" type="noConversion"/>
  </si>
  <si>
    <t>김지해</t>
    <phoneticPr fontId="4" type="noConversion"/>
  </si>
  <si>
    <t>축하화환</t>
    <phoneticPr fontId="4" type="noConversion"/>
  </si>
  <si>
    <t>이상훈</t>
    <phoneticPr fontId="4" type="noConversion"/>
  </si>
  <si>
    <t>위더스웨딩홀</t>
    <phoneticPr fontId="4" type="noConversion"/>
  </si>
  <si>
    <t>본인결혼</t>
    <phoneticPr fontId="4" type="noConversion"/>
  </si>
  <si>
    <t>동남아3팀</t>
    <phoneticPr fontId="4" type="noConversion"/>
  </si>
  <si>
    <t>김미현</t>
    <phoneticPr fontId="4" type="noConversion"/>
  </si>
  <si>
    <t>2025 경조화환 지출 내역(성원플라워)</t>
    <phoneticPr fontId="4" type="noConversion"/>
  </si>
  <si>
    <t>축하화환</t>
    <phoneticPr fontId="4" type="noConversion"/>
  </si>
  <si>
    <t>이상훈</t>
    <phoneticPr fontId="4" type="noConversion"/>
  </si>
  <si>
    <t>화분</t>
    <phoneticPr fontId="4" type="noConversion"/>
  </si>
  <si>
    <t>이상훈</t>
    <phoneticPr fontId="4" type="noConversion"/>
  </si>
  <si>
    <t>노랑풍선 본사</t>
    <phoneticPr fontId="4" type="noConversion"/>
  </si>
  <si>
    <t>한화에너지</t>
    <phoneticPr fontId="4" type="noConversion"/>
  </si>
  <si>
    <t>총무팀</t>
    <phoneticPr fontId="4" type="noConversion"/>
  </si>
  <si>
    <t>내륙팀</t>
    <phoneticPr fontId="4" type="noConversion"/>
  </si>
  <si>
    <t>홍익여행사</t>
    <phoneticPr fontId="4" type="noConversion"/>
  </si>
  <si>
    <t>양상승</t>
    <phoneticPr fontId="4" type="noConversion"/>
  </si>
  <si>
    <t>로얄파크컨벤션</t>
    <phoneticPr fontId="4" type="noConversion"/>
  </si>
  <si>
    <t>축하화환</t>
    <phoneticPr fontId="4" type="noConversion"/>
  </si>
  <si>
    <t>그랜드모먼트</t>
    <phoneticPr fontId="4" type="noConversion"/>
  </si>
  <si>
    <t>큐브여행사</t>
    <phoneticPr fontId="4" type="noConversion"/>
  </si>
  <si>
    <t>부산/영남영업팀</t>
    <phoneticPr fontId="4" type="noConversion"/>
  </si>
  <si>
    <t>정주영</t>
    <phoneticPr fontId="4" type="noConversion"/>
  </si>
  <si>
    <t>이상훈</t>
    <phoneticPr fontId="4" type="noConversion"/>
  </si>
  <si>
    <t>루이비스웨딩홀</t>
    <phoneticPr fontId="4" type="noConversion"/>
  </si>
  <si>
    <t>본인결혼</t>
    <phoneticPr fontId="4" type="noConversion"/>
  </si>
  <si>
    <t>법인영업2팀</t>
    <phoneticPr fontId="4" type="noConversion"/>
  </si>
  <si>
    <t>이지혜</t>
    <phoneticPr fontId="4" type="noConversion"/>
  </si>
  <si>
    <t>근조화환</t>
    <phoneticPr fontId="4" type="noConversion"/>
  </si>
  <si>
    <t>이상훈</t>
    <phoneticPr fontId="4" type="noConversion"/>
  </si>
  <si>
    <t>영남대병원장례식장</t>
    <phoneticPr fontId="4" type="noConversion"/>
  </si>
  <si>
    <t>예스투어</t>
    <phoneticPr fontId="4" type="noConversion"/>
  </si>
  <si>
    <t>부산상품팀</t>
    <phoneticPr fontId="4" type="noConversion"/>
  </si>
  <si>
    <t>김용혁</t>
    <phoneticPr fontId="4" type="noConversion"/>
  </si>
  <si>
    <t>축하화환</t>
    <phoneticPr fontId="4" type="noConversion"/>
  </si>
  <si>
    <t>이상훈</t>
    <phoneticPr fontId="4" type="noConversion"/>
  </si>
  <si>
    <t>브라이드밸리</t>
    <phoneticPr fontId="4" type="noConversion"/>
  </si>
  <si>
    <t>네이버</t>
    <phoneticPr fontId="4" type="noConversion"/>
  </si>
  <si>
    <t>제휴영업1팀</t>
    <phoneticPr fontId="4" type="noConversion"/>
  </si>
  <si>
    <t>류정호</t>
    <phoneticPr fontId="4" type="noConversion"/>
  </si>
  <si>
    <t>쉴낙원 서울장례식장</t>
    <phoneticPr fontId="4" type="noConversion"/>
  </si>
  <si>
    <t>톱데일리</t>
    <phoneticPr fontId="4" type="noConversion"/>
  </si>
  <si>
    <t>홍보팀</t>
    <phoneticPr fontId="4" type="noConversion"/>
  </si>
  <si>
    <t>김세연</t>
    <phoneticPr fontId="4" type="noConversion"/>
  </si>
  <si>
    <t>워커힐아파트</t>
    <phoneticPr fontId="4" type="noConversion"/>
  </si>
  <si>
    <t>세계여행신문</t>
    <phoneticPr fontId="4" type="noConversion"/>
  </si>
  <si>
    <t>최강락</t>
    <phoneticPr fontId="4" type="noConversion"/>
  </si>
  <si>
    <t>축하화환</t>
    <phoneticPr fontId="4" type="noConversion"/>
  </si>
  <si>
    <t>월드컵컨벤션</t>
    <phoneticPr fontId="4" type="noConversion"/>
  </si>
  <si>
    <t>G마켓</t>
    <phoneticPr fontId="4" type="noConversion"/>
  </si>
  <si>
    <t>제휴영업1팀</t>
    <phoneticPr fontId="4" type="noConversion"/>
  </si>
  <si>
    <t>박상수</t>
    <phoneticPr fontId="4" type="noConversion"/>
  </si>
  <si>
    <t>축하화환</t>
    <phoneticPr fontId="4" type="noConversion"/>
  </si>
  <si>
    <t>이상훈</t>
    <phoneticPr fontId="4" type="noConversion"/>
  </si>
  <si>
    <t>PJ호텔 뮤즈홀</t>
    <phoneticPr fontId="4" type="noConversion"/>
  </si>
  <si>
    <t>본인결혼</t>
    <phoneticPr fontId="4" type="noConversion"/>
  </si>
  <si>
    <t>김은지</t>
    <phoneticPr fontId="4" type="noConversion"/>
  </si>
  <si>
    <t>ADX전략사업팀</t>
    <phoneticPr fontId="4" type="noConversion"/>
  </si>
  <si>
    <t>동양난</t>
    <phoneticPr fontId="4" type="noConversion"/>
  </si>
  <si>
    <t>이상훈</t>
    <phoneticPr fontId="4" type="noConversion"/>
  </si>
  <si>
    <t>에어차이나</t>
    <phoneticPr fontId="4" type="noConversion"/>
  </si>
  <si>
    <t>에어차이나</t>
    <phoneticPr fontId="4" type="noConversion"/>
  </si>
  <si>
    <t>항공기획팀</t>
    <phoneticPr fontId="4" type="noConversion"/>
  </si>
  <si>
    <t>김진혁</t>
    <phoneticPr fontId="4" type="noConversion"/>
  </si>
  <si>
    <t>동양난</t>
    <phoneticPr fontId="4" type="noConversion"/>
  </si>
  <si>
    <t>이상훈</t>
    <phoneticPr fontId="4" type="noConversion"/>
  </si>
  <si>
    <t>티웨이항공</t>
    <phoneticPr fontId="4" type="noConversion"/>
  </si>
  <si>
    <t>티웨이항공</t>
    <phoneticPr fontId="4" type="noConversion"/>
  </si>
  <si>
    <t>항공기획팀</t>
    <phoneticPr fontId="4" type="noConversion"/>
  </si>
  <si>
    <t>김슬기</t>
    <phoneticPr fontId="4" type="noConversion"/>
  </si>
  <si>
    <t>뉴이편한여행</t>
    <phoneticPr fontId="4" type="noConversion"/>
  </si>
  <si>
    <t>뉴이편한여행</t>
    <phoneticPr fontId="4" type="noConversion"/>
  </si>
  <si>
    <t>서동걸</t>
    <phoneticPr fontId="4" type="noConversion"/>
  </si>
  <si>
    <t>MJ컨벤션</t>
    <phoneticPr fontId="4" type="noConversion"/>
  </si>
  <si>
    <t>중국팀</t>
    <phoneticPr fontId="4" type="noConversion"/>
  </si>
  <si>
    <t>이유정</t>
    <phoneticPr fontId="4" type="noConversion"/>
  </si>
  <si>
    <t>축하화환</t>
    <phoneticPr fontId="4" type="noConversion"/>
  </si>
  <si>
    <t>이상훈</t>
    <phoneticPr fontId="4" type="noConversion"/>
  </si>
  <si>
    <t>축하화환</t>
    <phoneticPr fontId="4" type="noConversion"/>
  </si>
  <si>
    <t>이상훈</t>
    <phoneticPr fontId="4" type="noConversion"/>
  </si>
  <si>
    <t>한국경제신문사 루이비스 웨딩홀</t>
    <phoneticPr fontId="4" type="noConversion"/>
  </si>
  <si>
    <t>동남아1팀</t>
    <phoneticPr fontId="4" type="noConversion"/>
  </si>
  <si>
    <t>박지훈</t>
    <phoneticPr fontId="4" type="noConversion"/>
  </si>
  <si>
    <t>근조화환</t>
    <phoneticPr fontId="4" type="noConversion"/>
  </si>
  <si>
    <t>이상훈</t>
    <phoneticPr fontId="4" type="noConversion"/>
  </si>
  <si>
    <t>부산 시민장례식장</t>
    <phoneticPr fontId="4" type="noConversion"/>
  </si>
  <si>
    <t>여우투어</t>
    <phoneticPr fontId="4" type="noConversion"/>
  </si>
  <si>
    <t>부산/영남 영업팀</t>
    <phoneticPr fontId="4" type="noConversion"/>
  </si>
  <si>
    <t>박귀란</t>
    <phoneticPr fontId="4" type="noConversion"/>
  </si>
  <si>
    <t>근조화환</t>
    <phoneticPr fontId="4" type="noConversion"/>
  </si>
  <si>
    <t>여의도 성모병원</t>
    <phoneticPr fontId="4" type="noConversion"/>
  </si>
  <si>
    <t>김수영</t>
    <phoneticPr fontId="4" type="noConversion"/>
  </si>
  <si>
    <t>라비에벨웨딩</t>
    <phoneticPr fontId="4" type="noConversion"/>
  </si>
  <si>
    <t>백장미</t>
    <phoneticPr fontId="4" type="noConversion"/>
  </si>
  <si>
    <t>축하화환</t>
    <phoneticPr fontId="4" type="noConversion"/>
  </si>
  <si>
    <t>이상훈</t>
    <phoneticPr fontId="4" type="noConversion"/>
  </si>
  <si>
    <t>더링크호텔 서울</t>
    <phoneticPr fontId="4" type="noConversion"/>
  </si>
  <si>
    <t>트립토파즈</t>
    <phoneticPr fontId="4" type="noConversion"/>
  </si>
  <si>
    <t>제휴영업1팀</t>
    <phoneticPr fontId="4" type="noConversion"/>
  </si>
  <si>
    <t>한소연</t>
    <phoneticPr fontId="4" type="noConversion"/>
  </si>
  <si>
    <t>축하화환</t>
    <phoneticPr fontId="4" type="noConversion"/>
  </si>
  <si>
    <t>이상훈</t>
    <phoneticPr fontId="4" type="noConversion"/>
  </si>
  <si>
    <t>당산 그랜드컨벤션</t>
    <phoneticPr fontId="4" type="noConversion"/>
  </si>
  <si>
    <t>본인 결혼</t>
    <phoneticPr fontId="4" type="noConversion"/>
  </si>
  <si>
    <t>자금정산팀</t>
    <phoneticPr fontId="4" type="noConversion"/>
  </si>
  <si>
    <t>서민정</t>
    <phoneticPr fontId="4" type="noConversion"/>
  </si>
  <si>
    <t>이상훈</t>
    <phoneticPr fontId="4" type="noConversion"/>
  </si>
  <si>
    <t>여의도 성모병원</t>
    <phoneticPr fontId="4" type="noConversion"/>
  </si>
  <si>
    <t>투어넷 하와이</t>
    <phoneticPr fontId="4" type="noConversion"/>
  </si>
  <si>
    <t>허니문팀</t>
    <phoneticPr fontId="4" type="noConversion"/>
  </si>
  <si>
    <t>정영관</t>
    <phoneticPr fontId="4" type="noConversion"/>
  </si>
  <si>
    <t>근조화환</t>
    <phoneticPr fontId="4" type="noConversion"/>
  </si>
  <si>
    <t>이상훈</t>
    <phoneticPr fontId="4" type="noConversion"/>
  </si>
  <si>
    <t>김해 교원예움 김해장례식장</t>
    <phoneticPr fontId="4" type="noConversion"/>
  </si>
  <si>
    <t>아시아나항공</t>
    <phoneticPr fontId="4" type="noConversion"/>
  </si>
  <si>
    <t>부산상품팀</t>
    <phoneticPr fontId="4" type="noConversion"/>
  </si>
  <si>
    <t>이태훈</t>
    <phoneticPr fontId="4" type="noConversion"/>
  </si>
  <si>
    <t>서울성모병원</t>
    <phoneticPr fontId="4" type="noConversion"/>
  </si>
  <si>
    <t>에즈금융서비스</t>
    <phoneticPr fontId="4" type="noConversion"/>
  </si>
  <si>
    <t>법인영업1팀</t>
    <phoneticPr fontId="4" type="noConversion"/>
  </si>
  <si>
    <t>이태형</t>
    <phoneticPr fontId="4" type="noConversion"/>
  </si>
  <si>
    <t>동양난</t>
    <phoneticPr fontId="4" type="noConversion"/>
  </si>
  <si>
    <t xml:space="preserve">대한항공 </t>
    <phoneticPr fontId="4" type="noConversion"/>
  </si>
  <si>
    <t>대한항공</t>
    <phoneticPr fontId="4" type="noConversion"/>
  </si>
  <si>
    <t>이태욱</t>
    <phoneticPr fontId="4" type="noConversion"/>
  </si>
  <si>
    <t>축하화환</t>
    <phoneticPr fontId="4" type="noConversion"/>
  </si>
  <si>
    <t>이상훈</t>
    <phoneticPr fontId="4" type="noConversion"/>
  </si>
  <si>
    <t>라비니움</t>
    <phoneticPr fontId="4" type="noConversion"/>
  </si>
  <si>
    <t>본인결혼</t>
    <phoneticPr fontId="4" type="noConversion"/>
  </si>
  <si>
    <t>홍콩/대만팀</t>
    <phoneticPr fontId="4" type="noConversion"/>
  </si>
  <si>
    <t>정선혜</t>
    <phoneticPr fontId="4" type="noConversion"/>
  </si>
  <si>
    <t>근조화환</t>
    <phoneticPr fontId="4" type="noConversion"/>
  </si>
  <si>
    <t>서울성모병원 장례식장</t>
    <phoneticPr fontId="4" type="noConversion"/>
  </si>
  <si>
    <t>아시아나항공</t>
    <phoneticPr fontId="4" type="noConversion"/>
  </si>
  <si>
    <t>동양난</t>
    <phoneticPr fontId="4" type="noConversion"/>
  </si>
  <si>
    <t>이상훈</t>
    <phoneticPr fontId="4" type="noConversion"/>
  </si>
  <si>
    <t>JL 항공</t>
    <phoneticPr fontId="4" type="noConversion"/>
  </si>
  <si>
    <t>JL항공</t>
    <phoneticPr fontId="4" type="noConversion"/>
  </si>
  <si>
    <t>항공기획팀</t>
    <phoneticPr fontId="4" type="noConversion"/>
  </si>
  <si>
    <t>김관현</t>
    <phoneticPr fontId="4" type="noConversion"/>
  </si>
  <si>
    <t>화분</t>
    <phoneticPr fontId="4" type="noConversion"/>
  </si>
  <si>
    <t>이상훈</t>
    <phoneticPr fontId="4" type="noConversion"/>
  </si>
  <si>
    <t>티웨이항공 부산판매지점</t>
    <phoneticPr fontId="4" type="noConversion"/>
  </si>
  <si>
    <t>티웨이항공</t>
    <phoneticPr fontId="4" type="noConversion"/>
  </si>
  <si>
    <t>부산상품팀</t>
    <phoneticPr fontId="4" type="noConversion"/>
  </si>
  <si>
    <t>박준홍</t>
    <phoneticPr fontId="4" type="noConversion"/>
  </si>
  <si>
    <t>근조화환</t>
    <phoneticPr fontId="4" type="noConversion"/>
  </si>
  <si>
    <t>적십자병원 장례식장</t>
    <phoneticPr fontId="4" type="noConversion"/>
  </si>
  <si>
    <t>비프페이</t>
    <phoneticPr fontId="4" type="noConversion"/>
  </si>
  <si>
    <t>내륙팀</t>
    <phoneticPr fontId="4" type="noConversion"/>
  </si>
  <si>
    <t>이지선</t>
    <phoneticPr fontId="4" type="noConversion"/>
  </si>
  <si>
    <t>축하화환</t>
    <phoneticPr fontId="4" type="noConversion"/>
  </si>
  <si>
    <t>이상훈</t>
    <phoneticPr fontId="4" type="noConversion"/>
  </si>
  <si>
    <t>웨딩여율리</t>
    <phoneticPr fontId="4" type="noConversion"/>
  </si>
  <si>
    <t>삼구아이앤씨</t>
    <phoneticPr fontId="4" type="noConversion"/>
  </si>
  <si>
    <t>총무팀</t>
    <phoneticPr fontId="4" type="noConversion"/>
  </si>
  <si>
    <t>장병욱</t>
    <phoneticPr fontId="4" type="noConversion"/>
  </si>
  <si>
    <t>상록아트홀</t>
    <phoneticPr fontId="4" type="noConversion"/>
  </si>
  <si>
    <t>괌정부관광청</t>
    <phoneticPr fontId="4" type="noConversion"/>
  </si>
  <si>
    <t>괌/사이판팀</t>
    <phoneticPr fontId="4" type="noConversion"/>
  </si>
  <si>
    <t>곽동수</t>
    <phoneticPr fontId="4" type="noConversion"/>
  </si>
  <si>
    <t>화분</t>
    <phoneticPr fontId="4" type="noConversion"/>
  </si>
  <si>
    <t>충남문화관광재단</t>
    <phoneticPr fontId="4" type="noConversion"/>
  </si>
  <si>
    <t>충남문화관광재단</t>
    <phoneticPr fontId="4" type="noConversion"/>
  </si>
  <si>
    <t>내륙팀</t>
    <phoneticPr fontId="4" type="noConversion"/>
  </si>
  <si>
    <t>최동석</t>
    <phoneticPr fontId="4" type="noConversion"/>
  </si>
  <si>
    <t>근조화환</t>
    <phoneticPr fontId="4" type="noConversion"/>
  </si>
  <si>
    <t>이상훈</t>
    <phoneticPr fontId="4" type="noConversion"/>
  </si>
  <si>
    <t>한림대 성심병원장례식장</t>
    <phoneticPr fontId="4" type="noConversion"/>
  </si>
  <si>
    <t>핀포인트뉴스</t>
    <phoneticPr fontId="4" type="noConversion"/>
  </si>
  <si>
    <t>최영희</t>
    <phoneticPr fontId="4" type="noConversion"/>
  </si>
  <si>
    <t>축하화환</t>
    <phoneticPr fontId="4" type="noConversion"/>
  </si>
  <si>
    <t>이상훈</t>
    <phoneticPr fontId="4" type="noConversion"/>
  </si>
  <si>
    <t xml:space="preserve">더베뉴지서울 </t>
    <phoneticPr fontId="4" type="noConversion"/>
  </si>
  <si>
    <t>본인결혼</t>
    <phoneticPr fontId="4" type="noConversion"/>
  </si>
  <si>
    <t>WEB UI/UX팀</t>
    <phoneticPr fontId="4" type="noConversion"/>
  </si>
  <si>
    <t>이명민</t>
    <phoneticPr fontId="4" type="noConversion"/>
  </si>
  <si>
    <t>이상훈</t>
    <phoneticPr fontId="4" type="noConversion"/>
  </si>
  <si>
    <t>안진회계법인</t>
    <phoneticPr fontId="4" type="noConversion"/>
  </si>
  <si>
    <t>김장훈</t>
    <phoneticPr fontId="4" type="noConversion"/>
  </si>
  <si>
    <t>축하화환</t>
    <phoneticPr fontId="4" type="noConversion"/>
  </si>
  <si>
    <t>김성태</t>
    <phoneticPr fontId="4" type="noConversion"/>
  </si>
  <si>
    <t>동남아2팀</t>
    <phoneticPr fontId="4" type="noConversion"/>
  </si>
  <si>
    <t>김성태</t>
    <phoneticPr fontId="4" type="noConversion"/>
  </si>
  <si>
    <t>퍼시픽타워  오펠리스 웨딩홀</t>
    <phoneticPr fontId="4" type="noConversion"/>
  </si>
  <si>
    <t>본인결혼</t>
    <phoneticPr fontId="4" type="noConversion"/>
  </si>
  <si>
    <t>동양난</t>
    <phoneticPr fontId="4" type="noConversion"/>
  </si>
  <si>
    <t>필리핀항공</t>
    <phoneticPr fontId="4" type="noConversion"/>
  </si>
  <si>
    <t>필리핀항공</t>
    <phoneticPr fontId="4" type="noConversion"/>
  </si>
  <si>
    <t>항공기획팀</t>
    <phoneticPr fontId="4" type="noConversion"/>
  </si>
  <si>
    <t>이지현</t>
    <phoneticPr fontId="4" type="noConversion"/>
  </si>
  <si>
    <t>동아탱커</t>
    <phoneticPr fontId="4" type="noConversion"/>
  </si>
  <si>
    <t>총무팀</t>
    <phoneticPr fontId="4" type="noConversion"/>
  </si>
  <si>
    <t>이성구</t>
    <phoneticPr fontId="4" type="noConversion"/>
  </si>
  <si>
    <t>이상훈</t>
    <phoneticPr fontId="4" type="noConversion"/>
  </si>
  <si>
    <t>세인트컨벤션웨딩홀</t>
    <phoneticPr fontId="4" type="noConversion"/>
  </si>
  <si>
    <t>마이스링스</t>
    <phoneticPr fontId="4" type="noConversion"/>
  </si>
  <si>
    <t>법인영업1팀</t>
    <phoneticPr fontId="4" type="noConversion"/>
  </si>
  <si>
    <t>김재훈</t>
    <phoneticPr fontId="4" type="noConversion"/>
  </si>
  <si>
    <t>이상훈</t>
    <phoneticPr fontId="4" type="noConversion"/>
  </si>
  <si>
    <t>진에어</t>
    <phoneticPr fontId="4" type="noConversion"/>
  </si>
  <si>
    <t>항공기획팀</t>
    <phoneticPr fontId="4" type="noConversion"/>
  </si>
  <si>
    <t>구자현</t>
    <phoneticPr fontId="4" type="noConversion"/>
  </si>
  <si>
    <t>서양난</t>
    <phoneticPr fontId="4" type="noConversion"/>
  </si>
  <si>
    <t>이상훈</t>
    <phoneticPr fontId="4" type="noConversion"/>
  </si>
  <si>
    <t>제주 서귀포 KAL 호텔</t>
    <phoneticPr fontId="4" type="noConversion"/>
  </si>
  <si>
    <t>서귀포 KAL 호텔</t>
    <phoneticPr fontId="4" type="noConversion"/>
  </si>
  <si>
    <t>우행제</t>
    <phoneticPr fontId="4" type="noConversion"/>
  </si>
  <si>
    <t>화분</t>
    <phoneticPr fontId="4" type="noConversion"/>
  </si>
  <si>
    <t>진에어</t>
    <phoneticPr fontId="4" type="noConversion"/>
  </si>
  <si>
    <t>진에어 / 홍성완</t>
    <phoneticPr fontId="4" type="noConversion"/>
  </si>
  <si>
    <t>진에어 / 홍관진</t>
    <phoneticPr fontId="4" type="noConversion"/>
  </si>
  <si>
    <t>진에어 / 오승혁</t>
    <phoneticPr fontId="4" type="noConversion"/>
  </si>
  <si>
    <t>진에어</t>
    <phoneticPr fontId="4" type="noConversion"/>
  </si>
  <si>
    <t>진에어</t>
    <phoneticPr fontId="4" type="noConversion"/>
  </si>
  <si>
    <t>홍성완</t>
    <phoneticPr fontId="4" type="noConversion"/>
  </si>
  <si>
    <t>홍관진</t>
    <phoneticPr fontId="4" type="noConversion"/>
  </si>
  <si>
    <t>오승혁</t>
    <phoneticPr fontId="4" type="noConversion"/>
  </si>
  <si>
    <t>화분</t>
    <phoneticPr fontId="4" type="noConversion"/>
  </si>
  <si>
    <t>동양난</t>
    <phoneticPr fontId="4" type="noConversion"/>
  </si>
  <si>
    <t>이상훈</t>
    <phoneticPr fontId="4" type="noConversion"/>
  </si>
  <si>
    <t>제주 부민장례식장</t>
    <phoneticPr fontId="4" type="noConversion"/>
  </si>
  <si>
    <t>PHR 코리아(괌 힐튼)</t>
    <phoneticPr fontId="4" type="noConversion"/>
  </si>
  <si>
    <t>괌/.사이판팀</t>
    <phoneticPr fontId="4" type="noConversion"/>
  </si>
  <si>
    <t>차인</t>
    <phoneticPr fontId="4" type="noConversion"/>
  </si>
  <si>
    <t>소풍컨벤션</t>
    <phoneticPr fontId="4" type="noConversion"/>
  </si>
  <si>
    <t>동남아 4팀</t>
    <phoneticPr fontId="4" type="noConversion"/>
  </si>
  <si>
    <t>김현민</t>
    <phoneticPr fontId="4" type="noConversion"/>
  </si>
  <si>
    <t>대구 상례원장례식장</t>
    <phoneticPr fontId="4" type="noConversion"/>
  </si>
  <si>
    <t>대리점/법인항공팀</t>
    <phoneticPr fontId="4" type="noConversion"/>
  </si>
  <si>
    <t>에이케이씨</t>
    <phoneticPr fontId="4" type="noConversion"/>
  </si>
  <si>
    <t>이종로</t>
    <phoneticPr fontId="4" type="noConversion"/>
  </si>
  <si>
    <t>대전 성심병원장례식장</t>
    <phoneticPr fontId="4" type="noConversion"/>
  </si>
  <si>
    <t>최상미</t>
    <phoneticPr fontId="4" type="noConversion"/>
  </si>
  <si>
    <t xml:space="preserve"> 2026년 1월 경조화환 발주 내역 </t>
    <phoneticPr fontId="4" type="noConversion"/>
  </si>
  <si>
    <t>동양난</t>
    <phoneticPr fontId="4" type="noConversion"/>
  </si>
  <si>
    <t>이상훈</t>
    <phoneticPr fontId="4" type="noConversion"/>
  </si>
  <si>
    <t>팬아시아에어</t>
    <phoneticPr fontId="4" type="noConversion"/>
  </si>
  <si>
    <t>팬아시아에어</t>
    <phoneticPr fontId="4" type="noConversion"/>
  </si>
  <si>
    <t>필리핀팀</t>
    <phoneticPr fontId="4" type="noConversion"/>
  </si>
  <si>
    <t>이상철</t>
    <phoneticPr fontId="4" type="noConversion"/>
  </si>
  <si>
    <t>축하화환</t>
    <phoneticPr fontId="4" type="noConversion"/>
  </si>
  <si>
    <t>이상훈</t>
    <phoneticPr fontId="4" type="noConversion"/>
  </si>
  <si>
    <t>위더스 안양</t>
    <phoneticPr fontId="4" type="noConversion"/>
  </si>
  <si>
    <t>화분</t>
    <phoneticPr fontId="4" type="noConversion"/>
  </si>
  <si>
    <t>부산 아시아나세이버</t>
    <phoneticPr fontId="4" type="noConversion"/>
  </si>
  <si>
    <t>아시아나세이버</t>
    <phoneticPr fontId="4" type="noConversion"/>
  </si>
  <si>
    <t>이상훈</t>
    <phoneticPr fontId="4" type="noConversion"/>
  </si>
  <si>
    <t>창원시립상복공원장례식장</t>
    <phoneticPr fontId="4" type="noConversion"/>
  </si>
  <si>
    <t>아주투어</t>
    <phoneticPr fontId="4" type="noConversion"/>
  </si>
  <si>
    <t>헬렌영박</t>
    <phoneticPr fontId="4" type="noConversion"/>
  </si>
  <si>
    <t>근조화환</t>
    <phoneticPr fontId="4" type="noConversion"/>
  </si>
  <si>
    <t>근조화환</t>
    <phoneticPr fontId="4" type="noConversion"/>
  </si>
  <si>
    <t>좌천봉생병원장례식장</t>
    <phoneticPr fontId="4" type="noConversion"/>
  </si>
  <si>
    <t>진에어 비서실</t>
    <phoneticPr fontId="4" type="noConversion"/>
  </si>
  <si>
    <t>진에어</t>
    <phoneticPr fontId="4" type="noConversion"/>
  </si>
  <si>
    <t>박병률</t>
    <phoneticPr fontId="4" type="noConversion"/>
  </si>
  <si>
    <t>근조화환</t>
    <phoneticPr fontId="4" type="noConversion"/>
  </si>
  <si>
    <t>포천장례문화원</t>
    <phoneticPr fontId="4" type="noConversion"/>
  </si>
  <si>
    <t>에어마카오</t>
    <phoneticPr fontId="4" type="noConversion"/>
  </si>
  <si>
    <t>홍콩/대만팀</t>
    <phoneticPr fontId="4" type="noConversion"/>
  </si>
  <si>
    <t>박지은</t>
    <phoneticPr fontId="4" type="noConversion"/>
  </si>
  <si>
    <t>이상훈</t>
    <phoneticPr fontId="4" type="noConversion"/>
  </si>
  <si>
    <t>아이이노베이션</t>
    <phoneticPr fontId="4" type="noConversion"/>
  </si>
  <si>
    <t>법인영업팀</t>
    <phoneticPr fontId="4" type="noConversion"/>
  </si>
  <si>
    <t>서혜지</t>
    <phoneticPr fontId="4" type="noConversion"/>
  </si>
  <si>
    <t>항공기획팀</t>
    <phoneticPr fontId="4" type="noConversion"/>
  </si>
  <si>
    <t>고 최정순</t>
    <phoneticPr fontId="4" type="noConversion"/>
  </si>
  <si>
    <t>홍석정</t>
    <phoneticPr fontId="4" type="noConversion"/>
  </si>
  <si>
    <t>부산상품팀</t>
    <phoneticPr fontId="4" type="noConversion"/>
  </si>
  <si>
    <t>본인결혼</t>
    <phoneticPr fontId="4" type="noConversion"/>
  </si>
  <si>
    <t>큐슈/북해도팀</t>
    <phoneticPr fontId="4" type="noConversion"/>
  </si>
  <si>
    <t>이종미</t>
    <phoneticPr fontId="4" type="noConversion"/>
  </si>
  <si>
    <t>서울아산병원</t>
    <phoneticPr fontId="4" type="noConversion"/>
  </si>
  <si>
    <t>비즈플레이</t>
    <phoneticPr fontId="4" type="noConversion"/>
  </si>
  <si>
    <t>김홍기</t>
    <phoneticPr fontId="4" type="noConversion"/>
  </si>
  <si>
    <t>박상욱</t>
    <phoneticPr fontId="4" type="noConversion"/>
  </si>
  <si>
    <t xml:space="preserve"> 2026년 2월 경조화환 발주 내역 </t>
    <phoneticPr fontId="4" type="noConversion"/>
  </si>
  <si>
    <t>축하화환</t>
    <phoneticPr fontId="4" type="noConversion"/>
  </si>
  <si>
    <t>이상훈</t>
    <phoneticPr fontId="4" type="noConversion"/>
  </si>
  <si>
    <t>메종글래드 제주</t>
    <phoneticPr fontId="4" type="noConversion"/>
  </si>
  <si>
    <t>땡큐제주렌트카</t>
    <phoneticPr fontId="4" type="noConversion"/>
  </si>
  <si>
    <t>국내상품팀</t>
    <phoneticPr fontId="4" type="noConversion"/>
  </si>
  <si>
    <t>양백윤</t>
    <phoneticPr fontId="4" type="noConversion"/>
  </si>
  <si>
    <t>동양난</t>
    <phoneticPr fontId="4" type="noConversion"/>
  </si>
  <si>
    <t>이상훈</t>
    <phoneticPr fontId="4" type="noConversion"/>
  </si>
  <si>
    <t>대한항공 부산여객지점</t>
    <phoneticPr fontId="4" type="noConversion"/>
  </si>
  <si>
    <t>대한항공</t>
    <phoneticPr fontId="4" type="noConversion"/>
  </si>
  <si>
    <t>부산상품팀</t>
    <phoneticPr fontId="4" type="noConversion"/>
  </si>
  <si>
    <t>유종욱</t>
    <phoneticPr fontId="4" type="noConversion"/>
  </si>
  <si>
    <t>금전수</t>
    <phoneticPr fontId="4" type="noConversion"/>
  </si>
  <si>
    <t>이상훈</t>
    <phoneticPr fontId="4" type="noConversion"/>
  </si>
  <si>
    <t>캐세이퍼시픽</t>
    <phoneticPr fontId="4" type="noConversion"/>
  </si>
  <si>
    <t>캐세이퍼시픽</t>
    <phoneticPr fontId="4" type="noConversion"/>
  </si>
  <si>
    <t>이상훈</t>
    <phoneticPr fontId="4" type="noConversion"/>
  </si>
  <si>
    <t>엑스트라이버</t>
    <phoneticPr fontId="4" type="noConversion"/>
  </si>
  <si>
    <t>엑스트라이버</t>
    <phoneticPr fontId="4" type="noConversion"/>
  </si>
  <si>
    <t>제휴영업팀</t>
    <phoneticPr fontId="4" type="noConversion"/>
  </si>
  <si>
    <t>박상훈</t>
    <phoneticPr fontId="4" type="noConversion"/>
  </si>
  <si>
    <t>과일바구니</t>
    <phoneticPr fontId="4" type="noConversion"/>
  </si>
  <si>
    <t>영등포 신세계서울병원</t>
    <phoneticPr fontId="4" type="noConversion"/>
  </si>
  <si>
    <t>근조화환</t>
    <phoneticPr fontId="4" type="noConversion"/>
  </si>
  <si>
    <t>이상훈</t>
    <phoneticPr fontId="4" type="noConversion"/>
  </si>
  <si>
    <t>부산보훈병원장례식장</t>
    <phoneticPr fontId="4" type="noConversion"/>
  </si>
  <si>
    <t>투어비</t>
    <phoneticPr fontId="4" type="noConversion"/>
  </si>
  <si>
    <t>부산상품팀</t>
    <phoneticPr fontId="4" type="noConversion"/>
  </si>
  <si>
    <t>서지연</t>
    <phoneticPr fontId="4" type="noConversion"/>
  </si>
  <si>
    <t>동양난</t>
    <phoneticPr fontId="4" type="noConversion"/>
  </si>
  <si>
    <t>이상훈</t>
    <phoneticPr fontId="4" type="noConversion"/>
  </si>
  <si>
    <t>카타르항공</t>
    <phoneticPr fontId="4" type="noConversion"/>
  </si>
  <si>
    <t>카타르항공</t>
    <phoneticPr fontId="4" type="noConversion"/>
  </si>
  <si>
    <t>동유럽 발칸팀</t>
    <phoneticPr fontId="4" type="noConversion"/>
  </si>
  <si>
    <t>아흐마드</t>
    <phoneticPr fontId="4" type="noConversion"/>
  </si>
  <si>
    <t>김선민</t>
    <phoneticPr fontId="4" type="noConversion"/>
  </si>
  <si>
    <t>항공기획팀</t>
    <phoneticPr fontId="4" type="noConversion"/>
  </si>
  <si>
    <t>양석호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</si>
</sst>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#,##0_ ;[Red]\-#,##0\ "/>
    <numFmt numFmtId="177" formatCode="0000\-00\-00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9"/>
      <color rgb="FFFF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9"/>
      <color rgb="FF0070C0"/>
      <name val="맑은 고딕"/>
      <family val="3"/>
      <charset val="129"/>
      <scheme val="minor"/>
    </font>
    <font>
      <b/>
      <sz val="9"/>
      <color theme="8"/>
      <name val="맑은 고딕"/>
      <family val="3"/>
      <charset val="129"/>
      <scheme val="minor"/>
    </font>
    <font>
      <b/>
      <sz val="9"/>
      <color theme="4" tint="-0.499984740745262"/>
      <name val="맑은 고딕"/>
      <family val="3"/>
      <charset val="129"/>
      <scheme val="minor"/>
    </font>
    <font>
      <sz val="10"/>
      <color rgb="FF000000"/>
      <name val="Gulimche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6" fillId="0" borderId="0">
      <alignment vertical="center"/>
    </xf>
  </cellStyleXfs>
  <cellXfs count="80">
    <xf numFmtId="0" fontId="0" fillId="0" borderId="0" xfId="0">
      <alignment vertical="center"/>
    </xf>
    <xf numFmtId="0" fontId="7" fillId="4" borderId="3" xfId="3" applyFont="1" applyFill="1" applyBorder="1" applyAlignment="1">
      <alignment horizontal="center" vertical="center"/>
    </xf>
    <xf numFmtId="0" fontId="7" fillId="4" borderId="1" xfId="3" applyFont="1" applyFill="1" applyBorder="1" applyAlignment="1">
      <alignment horizontal="center" vertical="center"/>
    </xf>
    <xf numFmtId="0" fontId="7" fillId="5" borderId="4" xfId="3" applyFont="1" applyFill="1" applyBorder="1" applyAlignment="1">
      <alignment horizontal="center" vertical="center"/>
    </xf>
    <xf numFmtId="0" fontId="7" fillId="4" borderId="3" xfId="2" applyFont="1" applyFill="1" applyBorder="1" applyAlignment="1">
      <alignment horizontal="center" vertical="center" wrapText="1"/>
    </xf>
    <xf numFmtId="41" fontId="8" fillId="0" borderId="1" xfId="1" applyFont="1" applyFill="1" applyBorder="1" applyAlignment="1">
      <alignment horizontal="right" vertical="center"/>
    </xf>
    <xf numFmtId="41" fontId="8" fillId="0" borderId="1" xfId="1" applyFont="1" applyBorder="1" applyAlignment="1">
      <alignment horizontal="right" vertical="center"/>
    </xf>
    <xf numFmtId="41" fontId="8" fillId="6" borderId="3" xfId="1" applyFont="1" applyFill="1" applyBorder="1" applyAlignment="1">
      <alignment horizontal="right" vertical="center"/>
    </xf>
    <xf numFmtId="41" fontId="7" fillId="4" borderId="5" xfId="1" applyFont="1" applyFill="1" applyBorder="1" applyAlignment="1">
      <alignment horizontal="right" vertical="center"/>
    </xf>
    <xf numFmtId="41" fontId="8" fillId="0" borderId="3" xfId="1" applyFont="1" applyFill="1" applyBorder="1" applyAlignment="1">
      <alignment horizontal="right" vertical="center"/>
    </xf>
    <xf numFmtId="0" fontId="7" fillId="5" borderId="3" xfId="2" applyFont="1" applyFill="1" applyBorder="1" applyAlignment="1">
      <alignment horizontal="center" vertical="center"/>
    </xf>
    <xf numFmtId="41" fontId="7" fillId="0" borderId="1" xfId="1" applyFont="1" applyFill="1" applyBorder="1" applyAlignment="1">
      <alignment horizontal="right" vertical="center"/>
    </xf>
    <xf numFmtId="41" fontId="7" fillId="4" borderId="6" xfId="1" applyFont="1" applyFill="1" applyBorder="1" applyAlignment="1">
      <alignment horizontal="right" vertical="center"/>
    </xf>
    <xf numFmtId="0" fontId="7" fillId="4" borderId="1" xfId="2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177" fontId="10" fillId="6" borderId="0" xfId="0" applyNumberFormat="1" applyFont="1" applyFill="1">
      <alignment vertical="center"/>
    </xf>
    <xf numFmtId="0" fontId="10" fillId="6" borderId="0" xfId="0" applyFont="1" applyFill="1">
      <alignment vertical="center"/>
    </xf>
    <xf numFmtId="0" fontId="7" fillId="7" borderId="7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177" fontId="7" fillId="7" borderId="8" xfId="0" applyNumberFormat="1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1" fontId="8" fillId="6" borderId="1" xfId="0" applyNumberFormat="1" applyFont="1" applyFill="1" applyBorder="1" applyAlignment="1">
      <alignment horizontal="right" vertical="center"/>
    </xf>
    <xf numFmtId="14" fontId="8" fillId="0" borderId="1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41" fontId="7" fillId="5" borderId="1" xfId="0" applyNumberFormat="1" applyFont="1" applyFill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41" fontId="7" fillId="5" borderId="1" xfId="0" applyNumberFormat="1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41" fontId="14" fillId="9" borderId="1" xfId="0" applyNumberFormat="1" applyFont="1" applyFill="1" applyBorder="1" applyAlignment="1">
      <alignment horizontal="right" vertical="center"/>
    </xf>
    <xf numFmtId="41" fontId="15" fillId="0" borderId="1" xfId="0" applyNumberFormat="1" applyFont="1" applyBorder="1">
      <alignment vertical="center"/>
    </xf>
    <xf numFmtId="41" fontId="17" fillId="0" borderId="1" xfId="1" applyFont="1" applyBorder="1">
      <alignment vertical="center"/>
    </xf>
    <xf numFmtId="41" fontId="18" fillId="0" borderId="1" xfId="0" applyNumberFormat="1" applyFont="1" applyBorder="1">
      <alignment vertical="center"/>
    </xf>
    <xf numFmtId="41" fontId="19" fillId="0" borderId="1" xfId="1" applyFont="1" applyBorder="1">
      <alignment vertical="center"/>
    </xf>
    <xf numFmtId="41" fontId="7" fillId="8" borderId="19" xfId="0" applyNumberFormat="1" applyFont="1" applyFill="1" applyBorder="1" applyAlignment="1">
      <alignment horizontal="right" vertical="center"/>
    </xf>
    <xf numFmtId="0" fontId="8" fillId="8" borderId="20" xfId="0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14" fillId="0" borderId="1" xfId="0" applyNumberFormat="1" applyFont="1" applyFill="1" applyBorder="1" applyAlignment="1">
      <alignment horizontal="center" vertical="center"/>
    </xf>
    <xf numFmtId="0" fontId="14" fillId="9" borderId="1" xfId="0" applyNumberFormat="1" applyFont="1" applyFill="1" applyBorder="1" applyAlignment="1">
      <alignment horizontal="center" vertical="center"/>
    </xf>
    <xf numFmtId="14" fontId="14" fillId="9" borderId="1" xfId="0" applyNumberFormat="1" applyFont="1" applyFill="1" applyBorder="1" applyAlignment="1">
      <alignment horizontal="center" vertical="center"/>
    </xf>
    <xf numFmtId="0" fontId="14" fillId="0" borderId="11" xfId="0" applyNumberFormat="1" applyFont="1" applyFill="1" applyBorder="1" applyAlignment="1">
      <alignment horizontal="center" vertical="center"/>
    </xf>
    <xf numFmtId="0" fontId="14" fillId="0" borderId="11" xfId="0" applyNumberFormat="1" applyFont="1" applyFill="1" applyBorder="1" applyAlignment="1">
      <alignment horizontal="center" vertical="center" wrapText="1"/>
    </xf>
    <xf numFmtId="41" fontId="14" fillId="0" borderId="11" xfId="1" applyNumberFormat="1" applyFont="1" applyFill="1" applyBorder="1" applyAlignment="1">
      <alignment horizontal="center" vertical="center"/>
    </xf>
    <xf numFmtId="0" fontId="14" fillId="5" borderId="11" xfId="0" applyNumberFormat="1" applyFont="1" applyFill="1" applyBorder="1" applyAlignment="1">
      <alignment horizontal="center" vertical="center"/>
    </xf>
    <xf numFmtId="0" fontId="14" fillId="6" borderId="11" xfId="0" applyNumberFormat="1" applyFont="1" applyFill="1" applyBorder="1" applyAlignment="1">
      <alignment horizontal="center" vertical="center"/>
    </xf>
    <xf numFmtId="0" fontId="14" fillId="6" borderId="1" xfId="0" applyNumberFormat="1" applyFont="1" applyFill="1" applyBorder="1" applyAlignment="1">
      <alignment horizontal="center" vertical="center"/>
    </xf>
    <xf numFmtId="41" fontId="19" fillId="0" borderId="1" xfId="0" applyNumberFormat="1" applyFont="1" applyBorder="1">
      <alignment vertical="center"/>
    </xf>
    <xf numFmtId="0" fontId="14" fillId="6" borderId="1" xfId="0" applyFont="1" applyFill="1" applyBorder="1" applyAlignment="1">
      <alignment horizontal="center" vertical="center"/>
    </xf>
    <xf numFmtId="0" fontId="14" fillId="9" borderId="1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14" fillId="0" borderId="2" xfId="0" applyNumberFormat="1" applyFont="1" applyFill="1" applyBorder="1" applyAlignment="1">
      <alignment horizontal="center" vertical="center"/>
    </xf>
    <xf numFmtId="0" fontId="14" fillId="0" borderId="14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6" fillId="0" borderId="2" xfId="0" applyNumberFormat="1" applyFont="1" applyBorder="1" applyAlignment="1">
      <alignment horizontal="right" vertical="center"/>
    </xf>
    <xf numFmtId="176" fontId="6" fillId="0" borderId="0" xfId="0" applyNumberFormat="1" applyFont="1" applyAlignment="1">
      <alignment horizontal="right" vertical="center"/>
    </xf>
    <xf numFmtId="0" fontId="7" fillId="6" borderId="15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8" borderId="16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/>
    </xf>
    <xf numFmtId="0" fontId="7" fillId="8" borderId="18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right" vertical="center"/>
    </xf>
    <xf numFmtId="0" fontId="12" fillId="6" borderId="0" xfId="0" applyFont="1" applyFill="1" applyAlignment="1">
      <alignment horizontal="right" vertical="center"/>
    </xf>
    <xf numFmtId="0" fontId="7" fillId="6" borderId="15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6" borderId="22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</cellXfs>
  <cellStyles count="5">
    <cellStyle name="보통" xfId="3" builtinId="28"/>
    <cellStyle name="쉼표 [0]" xfId="1" builtinId="6"/>
    <cellStyle name="좋음" xfId="2" builtinId="26"/>
    <cellStyle name="표준" xfId="0" builtinId="0"/>
    <cellStyle name="표준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047836893945504E-2"/>
          <c:y val="1.6007345181055913E-2"/>
          <c:w val="0.91395216310605454"/>
          <c:h val="0.7700743536651438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40000"/>
                <a:lumOff val="60000"/>
              </a:schemeClr>
            </a:solidFill>
            <a:ln>
              <a:solidFill>
                <a:srgbClr val="FF0000"/>
              </a:solidFill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solidFill>
                <a:schemeClr val="bg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총계!$B$4:$M$4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총계!$B$8:$M$8</c:f>
              <c:numCache>
                <c:formatCode>_(* #,##0_);_(* \(#,##0\);_(* "-"_);_(@_)</c:formatCode>
                <c:ptCount val="12"/>
                <c:pt idx="0">
                  <c:v>900000</c:v>
                </c:pt>
                <c:pt idx="1">
                  <c:v>700000</c:v>
                </c:pt>
                <c:pt idx="2">
                  <c:v>1750000</c:v>
                </c:pt>
                <c:pt idx="3">
                  <c:v>920000</c:v>
                </c:pt>
                <c:pt idx="4">
                  <c:v>610000</c:v>
                </c:pt>
                <c:pt idx="5">
                  <c:v>810000</c:v>
                </c:pt>
                <c:pt idx="6">
                  <c:v>700000</c:v>
                </c:pt>
                <c:pt idx="7">
                  <c:v>700000</c:v>
                </c:pt>
                <c:pt idx="8">
                  <c:v>1400000</c:v>
                </c:pt>
                <c:pt idx="9">
                  <c:v>1100000</c:v>
                </c:pt>
                <c:pt idx="10">
                  <c:v>900000</c:v>
                </c:pt>
                <c:pt idx="11">
                  <c:v>1550000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CA1-40C2-9968-086B75AB7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053127120"/>
        <c:axId val="1053136912"/>
      </c:barChart>
      <c:catAx>
        <c:axId val="105312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53136912"/>
        <c:crosses val="autoZero"/>
        <c:auto val="1"/>
        <c:lblAlgn val="ctr"/>
        <c:lblOffset val="100"/>
        <c:noMultiLvlLbl val="0"/>
      </c:catAx>
      <c:valAx>
        <c:axId val="1053136912"/>
        <c:scaling>
          <c:orientation val="minMax"/>
          <c:max val="2000000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5312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390526</xdr:rowOff>
    </xdr:from>
    <xdr:to>
      <xdr:col>12</xdr:col>
      <xdr:colOff>685800</xdr:colOff>
      <xdr:row>2</xdr:row>
      <xdr:rowOff>542925</xdr:rowOff>
    </xdr:to>
    <xdr:graphicFrame macro="">
      <xdr:nvGraphicFramePr>
        <xdr:cNvPr id="4" name="차트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9"/>
  <sheetViews>
    <sheetView view="pageBreakPreview" zoomScaleNormal="100" zoomScaleSheetLayoutView="100" workbookViewId="0">
      <selection activeCell="H15" sqref="H15"/>
    </sheetView>
  </sheetViews>
  <sheetFormatPr defaultRowHeight="17"/>
  <cols>
    <col min="1" max="1" width="16.33203125" customWidth="1"/>
    <col min="2" max="4" width="10.5" bestFit="1" customWidth="1"/>
    <col min="5" max="5" width="10.08203125" customWidth="1"/>
    <col min="6" max="6" width="10.5" bestFit="1" customWidth="1"/>
    <col min="7" max="7" width="9.08203125" bestFit="1" customWidth="1"/>
    <col min="8" max="8" width="10.5" bestFit="1" customWidth="1"/>
    <col min="9" max="9" width="9.08203125" bestFit="1" customWidth="1"/>
    <col min="10" max="10" width="10.5" bestFit="1" customWidth="1"/>
    <col min="11" max="11" width="11.33203125" customWidth="1"/>
    <col min="12" max="12" width="10.5" bestFit="1" customWidth="1"/>
    <col min="13" max="13" width="10.25" customWidth="1"/>
    <col min="14" max="14" width="13.83203125" customWidth="1"/>
  </cols>
  <sheetData>
    <row r="1" spans="1:14" ht="30">
      <c r="A1" s="58" t="s">
        <v>311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</row>
    <row r="2" spans="1:14" ht="168.75" customHeight="1"/>
    <row r="3" spans="1:14" ht="45.75" customHeight="1" thickBot="1">
      <c r="A3" s="59" t="s">
        <v>1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60"/>
    </row>
    <row r="4" spans="1:14">
      <c r="A4" s="1" t="s">
        <v>0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1" t="s">
        <v>13</v>
      </c>
      <c r="N4" s="3" t="s">
        <v>14</v>
      </c>
    </row>
    <row r="5" spans="1:14" ht="32">
      <c r="A5" s="4" t="s">
        <v>15</v>
      </c>
      <c r="B5" s="5">
        <f>'1월'!J25</f>
        <v>800000</v>
      </c>
      <c r="C5" s="5">
        <f>'2월'!J27</f>
        <v>700000</v>
      </c>
      <c r="D5" s="5">
        <f>'3월'!J22</f>
        <v>1550000</v>
      </c>
      <c r="E5" s="5">
        <f>'4월'!J29</f>
        <v>820000</v>
      </c>
      <c r="F5" s="5">
        <f>'5월'!J22</f>
        <v>460000</v>
      </c>
      <c r="G5" s="5">
        <f>'6월'!J19</f>
        <v>720000</v>
      </c>
      <c r="H5" s="5">
        <f>'7월'!J19</f>
        <v>700000</v>
      </c>
      <c r="I5" s="5">
        <f>'8월'!J12</f>
        <v>600000</v>
      </c>
      <c r="J5" s="5">
        <f>'9월'!J15</f>
        <v>1100000</v>
      </c>
      <c r="K5" s="5">
        <f>'10월'!J19</f>
        <v>800000</v>
      </c>
      <c r="L5" s="5">
        <f>'11월'!J17</f>
        <v>800000</v>
      </c>
      <c r="M5" s="7">
        <f>'12월'!J18</f>
        <v>1350000</v>
      </c>
      <c r="N5" s="8">
        <f>SUM(B5:M5)</f>
        <v>10400000</v>
      </c>
    </row>
    <row r="6" spans="1:14" ht="32">
      <c r="A6" s="4" t="s">
        <v>16</v>
      </c>
      <c r="B6" s="5">
        <f>'1월'!J29</f>
        <v>100000</v>
      </c>
      <c r="C6" s="6">
        <f>'2월'!J32</f>
        <v>0</v>
      </c>
      <c r="D6" s="5">
        <f>'3월'!J26</f>
        <v>200000</v>
      </c>
      <c r="E6" s="5">
        <f>'4월'!J33</f>
        <v>100000</v>
      </c>
      <c r="F6" s="5">
        <f>'5월'!J29</f>
        <v>0</v>
      </c>
      <c r="G6" s="5">
        <f>'6월'!J26</f>
        <v>90000</v>
      </c>
      <c r="H6" s="5">
        <f>'7월'!J26</f>
        <v>0</v>
      </c>
      <c r="I6" s="5"/>
      <c r="J6" s="5">
        <f>'9월'!J22</f>
        <v>300000</v>
      </c>
      <c r="K6" s="5">
        <f>'10월'!J26</f>
        <v>300000</v>
      </c>
      <c r="L6" s="5">
        <f>'11월'!J24</f>
        <v>100000</v>
      </c>
      <c r="M6" s="7">
        <f>'12월'!J25</f>
        <v>200000</v>
      </c>
      <c r="N6" s="8">
        <f t="shared" ref="N6:N8" si="0">SUM(B6:M6)</f>
        <v>1390000</v>
      </c>
    </row>
    <row r="7" spans="1:14" ht="32">
      <c r="A7" s="4" t="s">
        <v>17</v>
      </c>
      <c r="B7" s="5">
        <f>'1월'!J33</f>
        <v>0</v>
      </c>
      <c r="C7" s="5">
        <v>0</v>
      </c>
      <c r="D7" s="5">
        <f>'3월'!J30</f>
        <v>0</v>
      </c>
      <c r="E7" s="5">
        <f>'4월'!J37</f>
        <v>0</v>
      </c>
      <c r="F7" s="5">
        <f>'5월'!J33</f>
        <v>150000</v>
      </c>
      <c r="G7" s="5"/>
      <c r="H7" s="5"/>
      <c r="I7" s="5"/>
      <c r="J7" s="5"/>
      <c r="K7" s="5"/>
      <c r="L7" s="5"/>
      <c r="M7" s="9"/>
      <c r="N7" s="8">
        <f t="shared" si="0"/>
        <v>150000</v>
      </c>
    </row>
    <row r="8" spans="1:14" ht="17.5" thickBot="1">
      <c r="A8" s="10" t="s">
        <v>14</v>
      </c>
      <c r="B8" s="11">
        <f>'1월'!J34</f>
        <v>900000</v>
      </c>
      <c r="C8" s="11">
        <f>'2월'!J37</f>
        <v>700000</v>
      </c>
      <c r="D8" s="11">
        <f>'3월'!J31</f>
        <v>1750000</v>
      </c>
      <c r="E8" s="11">
        <f>'4월'!J38</f>
        <v>920000</v>
      </c>
      <c r="F8" s="11">
        <f>'5월'!J34</f>
        <v>610000</v>
      </c>
      <c r="G8" s="11">
        <f>'6월'!J31</f>
        <v>810000</v>
      </c>
      <c r="H8" s="11">
        <f>'7월'!J31</f>
        <v>700000</v>
      </c>
      <c r="I8" s="11">
        <f>'8월'!J24</f>
        <v>700000</v>
      </c>
      <c r="J8" s="11">
        <f>'9월'!J27</f>
        <v>1400000</v>
      </c>
      <c r="K8" s="11">
        <f>'10월'!J31</f>
        <v>1100000</v>
      </c>
      <c r="L8" s="11">
        <f>'11월'!J29</f>
        <v>900000</v>
      </c>
      <c r="M8" s="11">
        <f>'12월'!J30</f>
        <v>1550000</v>
      </c>
      <c r="N8" s="12">
        <f t="shared" si="0"/>
        <v>12040000</v>
      </c>
    </row>
    <row r="9" spans="1:14">
      <c r="A9" s="13" t="s">
        <v>18</v>
      </c>
      <c r="B9" s="36">
        <v>0</v>
      </c>
      <c r="C9" s="38">
        <f>C8-B8</f>
        <v>-200000</v>
      </c>
      <c r="D9" s="35">
        <f>D8-C8</f>
        <v>1050000</v>
      </c>
      <c r="E9" s="38">
        <f t="shared" ref="E9:J9" si="1">E8-D8</f>
        <v>-830000</v>
      </c>
      <c r="F9" s="35">
        <f t="shared" si="1"/>
        <v>-310000</v>
      </c>
      <c r="G9" s="38">
        <f t="shared" si="1"/>
        <v>200000</v>
      </c>
      <c r="H9" s="35">
        <f t="shared" si="1"/>
        <v>-110000</v>
      </c>
      <c r="I9" s="35">
        <f t="shared" si="1"/>
        <v>0</v>
      </c>
      <c r="J9" s="51">
        <f t="shared" si="1"/>
        <v>700000</v>
      </c>
      <c r="K9" s="35">
        <f t="shared" ref="K9:M9" si="2">K8-J8</f>
        <v>-300000</v>
      </c>
      <c r="L9" s="37">
        <f t="shared" si="2"/>
        <v>-200000</v>
      </c>
      <c r="M9" s="35">
        <f t="shared" si="2"/>
        <v>650000</v>
      </c>
    </row>
  </sheetData>
  <mergeCells count="2">
    <mergeCell ref="A1:N1"/>
    <mergeCell ref="A3:N3"/>
  </mergeCells>
  <phoneticPr fontId="4" type="noConversion"/>
  <pageMargins left="0.7" right="0.7" top="0.75" bottom="0.75" header="0.3" footer="0.3"/>
  <pageSetup paperSize="9" scale="5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4"/>
  <sheetViews>
    <sheetView workbookViewId="0">
      <selection activeCell="E6" sqref="E6"/>
    </sheetView>
  </sheetViews>
  <sheetFormatPr defaultRowHeight="17"/>
  <cols>
    <col min="1" max="1" width="6.33203125" bestFit="1" customWidth="1"/>
    <col min="2" max="2" width="3.75" bestFit="1" customWidth="1"/>
    <col min="3" max="3" width="10.83203125" bestFit="1" customWidth="1"/>
    <col min="4" max="4" width="9.58203125" bestFit="1" customWidth="1"/>
    <col min="5" max="5" width="6.33203125" bestFit="1" customWidth="1"/>
    <col min="6" max="6" width="81.08203125" bestFit="1" customWidth="1"/>
    <col min="7" max="7" width="21.33203125" bestFit="1" customWidth="1"/>
    <col min="8" max="8" width="17.9140625" customWidth="1"/>
    <col min="9" max="9" width="10.9140625" customWidth="1"/>
    <col min="10" max="10" width="10.5" customWidth="1"/>
    <col min="11" max="11" width="27.83203125" bestFit="1" customWidth="1"/>
  </cols>
  <sheetData>
    <row r="1" spans="1:11" ht="26">
      <c r="A1" s="68" t="s">
        <v>539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17.5" thickBot="1">
      <c r="A2" s="14"/>
      <c r="B2" s="14"/>
      <c r="C2" s="15"/>
      <c r="D2" s="16"/>
      <c r="E2" s="14"/>
      <c r="F2" s="16"/>
      <c r="G2" s="16"/>
      <c r="H2" s="16"/>
      <c r="I2" s="16"/>
      <c r="J2" s="69" t="s">
        <v>19</v>
      </c>
      <c r="K2" s="70"/>
    </row>
    <row r="3" spans="1:11">
      <c r="A3" s="17" t="s">
        <v>20</v>
      </c>
      <c r="B3" s="18" t="s">
        <v>21</v>
      </c>
      <c r="C3" s="19" t="s">
        <v>22</v>
      </c>
      <c r="D3" s="18" t="s">
        <v>23</v>
      </c>
      <c r="E3" s="18" t="s">
        <v>24</v>
      </c>
      <c r="F3" s="18" t="s">
        <v>34</v>
      </c>
      <c r="G3" s="18" t="s">
        <v>35</v>
      </c>
      <c r="H3" s="18" t="s">
        <v>25</v>
      </c>
      <c r="I3" s="18" t="s">
        <v>26</v>
      </c>
      <c r="J3" s="18" t="s">
        <v>27</v>
      </c>
      <c r="K3" s="20" t="s">
        <v>28</v>
      </c>
    </row>
    <row r="4" spans="1:11">
      <c r="A4" s="71" t="s">
        <v>29</v>
      </c>
      <c r="B4" s="21">
        <v>1</v>
      </c>
      <c r="C4" s="44">
        <v>46024</v>
      </c>
      <c r="D4" s="45" t="s">
        <v>540</v>
      </c>
      <c r="E4" s="45" t="s">
        <v>541</v>
      </c>
      <c r="F4" s="46" t="s">
        <v>542</v>
      </c>
      <c r="G4" s="43" t="s">
        <v>543</v>
      </c>
      <c r="H4" s="42" t="s">
        <v>544</v>
      </c>
      <c r="I4" s="45" t="s">
        <v>545</v>
      </c>
      <c r="J4" s="47">
        <v>100000</v>
      </c>
      <c r="K4" s="41"/>
    </row>
    <row r="5" spans="1:11">
      <c r="A5" s="72"/>
      <c r="B5" s="21">
        <v>2</v>
      </c>
      <c r="C5" s="44">
        <v>46031</v>
      </c>
      <c r="D5" s="45" t="s">
        <v>549</v>
      </c>
      <c r="E5" s="45" t="s">
        <v>547</v>
      </c>
      <c r="F5" s="45" t="s">
        <v>550</v>
      </c>
      <c r="G5" s="43" t="s">
        <v>551</v>
      </c>
      <c r="H5" s="43" t="s">
        <v>574</v>
      </c>
      <c r="I5" s="42" t="s">
        <v>573</v>
      </c>
      <c r="J5" s="47">
        <v>100000</v>
      </c>
      <c r="K5" s="41"/>
    </row>
    <row r="6" spans="1:11">
      <c r="A6" s="72"/>
      <c r="B6" s="21">
        <v>3</v>
      </c>
      <c r="C6" s="44">
        <v>46032</v>
      </c>
      <c r="D6" s="43" t="s">
        <v>557</v>
      </c>
      <c r="E6" s="45" t="s">
        <v>581</v>
      </c>
      <c r="F6" s="45" t="s">
        <v>553</v>
      </c>
      <c r="G6" s="43" t="s">
        <v>554</v>
      </c>
      <c r="H6" s="42"/>
      <c r="I6" s="42" t="s">
        <v>555</v>
      </c>
      <c r="J6" s="47">
        <v>100000</v>
      </c>
      <c r="K6" s="41"/>
    </row>
    <row r="7" spans="1:11">
      <c r="A7" s="72"/>
      <c r="B7" s="21">
        <v>4</v>
      </c>
      <c r="C7" s="44">
        <v>46032</v>
      </c>
      <c r="D7" s="43" t="s">
        <v>556</v>
      </c>
      <c r="E7" s="45" t="s">
        <v>552</v>
      </c>
      <c r="F7" s="45" t="s">
        <v>558</v>
      </c>
      <c r="G7" s="43"/>
      <c r="H7" s="42"/>
      <c r="I7" s="42" t="s">
        <v>572</v>
      </c>
      <c r="J7" s="47">
        <v>100000</v>
      </c>
      <c r="K7" s="41"/>
    </row>
    <row r="8" spans="1:11">
      <c r="A8" s="72"/>
      <c r="B8" s="21">
        <v>5</v>
      </c>
      <c r="C8" s="44">
        <v>46036</v>
      </c>
      <c r="D8" s="43" t="s">
        <v>540</v>
      </c>
      <c r="E8" s="45" t="s">
        <v>552</v>
      </c>
      <c r="F8" s="45" t="s">
        <v>559</v>
      </c>
      <c r="G8" s="43" t="s">
        <v>560</v>
      </c>
      <c r="H8" s="42" t="s">
        <v>571</v>
      </c>
      <c r="I8" s="42" t="s">
        <v>561</v>
      </c>
      <c r="J8" s="47">
        <v>100000</v>
      </c>
      <c r="K8" s="41"/>
    </row>
    <row r="9" spans="1:11">
      <c r="A9" s="72"/>
      <c r="B9" s="21">
        <v>6</v>
      </c>
      <c r="C9" s="44">
        <v>46036</v>
      </c>
      <c r="D9" s="43" t="s">
        <v>562</v>
      </c>
      <c r="E9" s="45" t="s">
        <v>552</v>
      </c>
      <c r="F9" s="45" t="s">
        <v>563</v>
      </c>
      <c r="G9" s="43" t="s">
        <v>564</v>
      </c>
      <c r="H9" s="42" t="s">
        <v>565</v>
      </c>
      <c r="I9" s="42" t="s">
        <v>566</v>
      </c>
      <c r="J9" s="47">
        <v>100000</v>
      </c>
      <c r="K9" s="41"/>
    </row>
    <row r="10" spans="1:11">
      <c r="A10" s="72"/>
      <c r="B10" s="21">
        <v>7</v>
      </c>
      <c r="C10" s="44">
        <v>46045</v>
      </c>
      <c r="D10" s="43" t="s">
        <v>42</v>
      </c>
      <c r="E10" s="45" t="s">
        <v>567</v>
      </c>
      <c r="F10" s="45" t="s">
        <v>578</v>
      </c>
      <c r="G10" s="43" t="s">
        <v>579</v>
      </c>
      <c r="H10" s="42"/>
      <c r="I10" s="42" t="s">
        <v>580</v>
      </c>
      <c r="J10" s="47">
        <v>100000</v>
      </c>
      <c r="K10" s="41"/>
    </row>
    <row r="11" spans="1:11">
      <c r="A11" s="72"/>
      <c r="B11" s="21">
        <v>8</v>
      </c>
      <c r="C11" s="44">
        <v>46047</v>
      </c>
      <c r="D11" s="43" t="s">
        <v>41</v>
      </c>
      <c r="E11" s="45" t="s">
        <v>37</v>
      </c>
      <c r="F11" s="45" t="s">
        <v>462</v>
      </c>
      <c r="G11" s="43" t="s">
        <v>568</v>
      </c>
      <c r="H11" s="42" t="s">
        <v>569</v>
      </c>
      <c r="I11" s="42" t="s">
        <v>570</v>
      </c>
      <c r="J11" s="47">
        <v>100000</v>
      </c>
      <c r="K11" s="41"/>
    </row>
    <row r="12" spans="1:11">
      <c r="A12" s="72"/>
      <c r="B12" s="21">
        <v>9</v>
      </c>
      <c r="C12" s="44"/>
      <c r="D12" s="43"/>
      <c r="E12" s="45"/>
      <c r="F12" s="45"/>
      <c r="G12" s="43"/>
      <c r="H12" s="42"/>
      <c r="I12" s="42"/>
      <c r="J12" s="47"/>
      <c r="K12" s="41"/>
    </row>
    <row r="13" spans="1:11">
      <c r="A13" s="72"/>
      <c r="B13" s="21">
        <v>10</v>
      </c>
      <c r="C13" s="44"/>
      <c r="D13" s="43"/>
      <c r="E13" s="45"/>
      <c r="F13" s="45"/>
      <c r="G13" s="43"/>
      <c r="H13" s="42"/>
      <c r="I13" s="42"/>
      <c r="J13" s="47"/>
      <c r="K13" s="41"/>
    </row>
    <row r="14" spans="1:11">
      <c r="A14" s="72"/>
      <c r="B14" s="21">
        <v>11</v>
      </c>
      <c r="C14" s="44"/>
      <c r="D14" s="43"/>
      <c r="E14" s="45"/>
      <c r="F14" s="45"/>
      <c r="G14" s="43"/>
      <c r="H14" s="42"/>
      <c r="I14" s="42"/>
      <c r="J14" s="47"/>
      <c r="K14" s="41"/>
    </row>
    <row r="15" spans="1:11">
      <c r="A15" s="72"/>
      <c r="B15" s="21">
        <v>12</v>
      </c>
      <c r="C15" s="44"/>
      <c r="D15" s="43"/>
      <c r="E15" s="45"/>
      <c r="F15" s="45"/>
      <c r="G15" s="43"/>
      <c r="H15" s="42"/>
      <c r="I15" s="42"/>
      <c r="J15" s="47"/>
      <c r="K15" s="41"/>
    </row>
    <row r="16" spans="1:11">
      <c r="A16" s="72"/>
      <c r="B16" s="21">
        <v>13</v>
      </c>
      <c r="C16" s="44"/>
      <c r="D16" s="43"/>
      <c r="E16" s="45"/>
      <c r="F16" s="45"/>
      <c r="G16" s="43"/>
      <c r="H16" s="42"/>
      <c r="I16" s="42"/>
      <c r="J16" s="47"/>
      <c r="K16" s="41"/>
    </row>
    <row r="17" spans="1:11">
      <c r="A17" s="72"/>
      <c r="B17" s="21">
        <v>14</v>
      </c>
      <c r="C17" s="44"/>
      <c r="D17" s="43"/>
      <c r="E17" s="45"/>
      <c r="F17" s="45"/>
      <c r="G17" s="43"/>
      <c r="H17" s="42"/>
      <c r="I17" s="42"/>
      <c r="J17" s="47"/>
      <c r="K17" s="41"/>
    </row>
    <row r="18" spans="1:11">
      <c r="A18" s="72"/>
      <c r="B18" s="21">
        <v>15</v>
      </c>
      <c r="C18" s="44"/>
      <c r="D18" s="43"/>
      <c r="E18" s="45"/>
      <c r="F18" s="45"/>
      <c r="G18" s="43"/>
      <c r="H18" s="42"/>
      <c r="I18" s="42"/>
      <c r="J18" s="47"/>
      <c r="K18" s="41"/>
    </row>
    <row r="19" spans="1:11">
      <c r="A19" s="72"/>
      <c r="B19" s="21">
        <v>16</v>
      </c>
      <c r="C19" s="44"/>
      <c r="D19" s="43"/>
      <c r="E19" s="45"/>
      <c r="F19" s="45"/>
      <c r="G19" s="43"/>
      <c r="H19" s="42"/>
      <c r="I19" s="42"/>
      <c r="J19" s="47"/>
      <c r="K19" s="41"/>
    </row>
    <row r="20" spans="1:11">
      <c r="A20" s="72"/>
      <c r="B20" s="21">
        <v>17</v>
      </c>
      <c r="C20" s="44"/>
      <c r="D20" s="43"/>
      <c r="E20" s="45"/>
      <c r="F20" s="45"/>
      <c r="G20" s="43"/>
      <c r="H20" s="42"/>
      <c r="I20" s="42"/>
      <c r="J20" s="47"/>
      <c r="K20" s="41"/>
    </row>
    <row r="21" spans="1:11">
      <c r="A21" s="72"/>
      <c r="B21" s="21">
        <v>18</v>
      </c>
      <c r="C21" s="44"/>
      <c r="D21" s="43"/>
      <c r="E21" s="45"/>
      <c r="F21" s="45"/>
      <c r="G21" s="43"/>
      <c r="H21" s="42"/>
      <c r="I21" s="42"/>
      <c r="J21" s="47"/>
      <c r="K21" s="41"/>
    </row>
    <row r="22" spans="1:11">
      <c r="A22" s="72"/>
      <c r="B22" s="21">
        <v>19</v>
      </c>
      <c r="C22" s="44"/>
      <c r="D22" s="43"/>
      <c r="E22" s="45"/>
      <c r="F22" s="45"/>
      <c r="G22" s="43"/>
      <c r="H22" s="42"/>
      <c r="I22" s="42"/>
      <c r="J22" s="47"/>
      <c r="K22" s="41"/>
    </row>
    <row r="23" spans="1:11">
      <c r="A23" s="72"/>
      <c r="B23" s="21">
        <v>20</v>
      </c>
      <c r="C23" s="44"/>
      <c r="D23" s="43"/>
      <c r="E23" s="45"/>
      <c r="F23" s="45"/>
      <c r="G23" s="43"/>
      <c r="H23" s="42"/>
      <c r="I23" s="42"/>
      <c r="J23" s="47"/>
      <c r="K23" s="41"/>
    </row>
    <row r="24" spans="1:11">
      <c r="A24" s="72"/>
      <c r="B24" s="21">
        <v>21</v>
      </c>
      <c r="C24" s="44"/>
      <c r="D24" s="43"/>
      <c r="E24" s="45"/>
      <c r="F24" s="43"/>
      <c r="G24" s="43"/>
      <c r="H24" s="43"/>
      <c r="I24" s="43"/>
      <c r="J24" s="47"/>
      <c r="K24" s="41"/>
    </row>
    <row r="25" spans="1:11" ht="17.5" thickBot="1">
      <c r="A25" s="73"/>
      <c r="B25" s="74" t="s">
        <v>30</v>
      </c>
      <c r="C25" s="75"/>
      <c r="D25" s="75"/>
      <c r="E25" s="75"/>
      <c r="F25" s="75"/>
      <c r="G25" s="75"/>
      <c r="H25" s="75"/>
      <c r="I25" s="75"/>
      <c r="J25" s="30">
        <f>SUM(J4:J24)</f>
        <v>800000</v>
      </c>
      <c r="K25" s="27"/>
    </row>
    <row r="26" spans="1:11">
      <c r="A26" s="17" t="s">
        <v>20</v>
      </c>
      <c r="B26" s="18" t="s">
        <v>21</v>
      </c>
      <c r="C26" s="19" t="s">
        <v>22</v>
      </c>
      <c r="D26" s="18" t="s">
        <v>23</v>
      </c>
      <c r="E26" s="18" t="s">
        <v>24</v>
      </c>
      <c r="F26" s="18" t="s">
        <v>34</v>
      </c>
      <c r="G26" s="18" t="s">
        <v>36</v>
      </c>
      <c r="H26" s="18" t="s">
        <v>25</v>
      </c>
      <c r="I26" s="18" t="s">
        <v>26</v>
      </c>
      <c r="J26" s="18" t="s">
        <v>27</v>
      </c>
      <c r="K26" s="20" t="s">
        <v>28</v>
      </c>
    </row>
    <row r="27" spans="1:11">
      <c r="A27" s="61" t="s">
        <v>31</v>
      </c>
      <c r="B27" s="22"/>
      <c r="C27" s="44">
        <v>46032</v>
      </c>
      <c r="D27" s="45" t="s">
        <v>546</v>
      </c>
      <c r="E27" s="45" t="s">
        <v>547</v>
      </c>
      <c r="F27" s="45" t="s">
        <v>548</v>
      </c>
      <c r="G27" s="43" t="s">
        <v>575</v>
      </c>
      <c r="H27" s="42" t="s">
        <v>576</v>
      </c>
      <c r="I27" s="42" t="s">
        <v>577</v>
      </c>
      <c r="J27" s="34">
        <v>100000</v>
      </c>
      <c r="K27" s="27"/>
    </row>
    <row r="28" spans="1:11">
      <c r="A28" s="62"/>
      <c r="B28" s="22"/>
      <c r="C28" s="32"/>
      <c r="D28" s="31"/>
      <c r="E28" s="31"/>
      <c r="F28" s="31"/>
      <c r="G28" s="31"/>
      <c r="H28" s="23"/>
      <c r="I28" s="33"/>
      <c r="J28" s="34"/>
      <c r="K28" s="27"/>
    </row>
    <row r="29" spans="1:11" ht="17.5" thickBot="1">
      <c r="A29" s="63"/>
      <c r="B29" s="64" t="s">
        <v>30</v>
      </c>
      <c r="C29" s="64"/>
      <c r="D29" s="64"/>
      <c r="E29" s="64"/>
      <c r="F29" s="64"/>
      <c r="G29" s="64"/>
      <c r="H29" s="64"/>
      <c r="I29" s="64"/>
      <c r="J29" s="28">
        <f>SUM(J27:J28)</f>
        <v>100000</v>
      </c>
      <c r="K29" s="27"/>
    </row>
    <row r="30" spans="1:11">
      <c r="A30" s="17" t="s">
        <v>20</v>
      </c>
      <c r="B30" s="18" t="s">
        <v>21</v>
      </c>
      <c r="C30" s="19" t="s">
        <v>22</v>
      </c>
      <c r="D30" s="18" t="s">
        <v>23</v>
      </c>
      <c r="E30" s="18" t="s">
        <v>24</v>
      </c>
      <c r="F30" s="18" t="s">
        <v>34</v>
      </c>
      <c r="G30" s="18"/>
      <c r="H30" s="18" t="s">
        <v>25</v>
      </c>
      <c r="I30" s="18" t="s">
        <v>26</v>
      </c>
      <c r="J30" s="18" t="s">
        <v>27</v>
      </c>
      <c r="K30" s="20" t="s">
        <v>28</v>
      </c>
    </row>
    <row r="31" spans="1:11">
      <c r="A31" s="61" t="s">
        <v>32</v>
      </c>
      <c r="B31" s="24"/>
      <c r="C31" s="26"/>
      <c r="D31" s="24"/>
      <c r="E31" s="24"/>
      <c r="F31" s="29"/>
      <c r="G31" s="29"/>
      <c r="H31" s="23"/>
      <c r="I31" s="24"/>
      <c r="J31" s="25"/>
      <c r="K31" s="27"/>
    </row>
    <row r="32" spans="1:11">
      <c r="A32" s="62"/>
      <c r="B32" s="24"/>
      <c r="C32" s="26"/>
      <c r="D32" s="24"/>
      <c r="E32" s="24"/>
      <c r="F32" s="29"/>
      <c r="G32" s="29"/>
      <c r="H32" s="23"/>
      <c r="I32" s="24"/>
      <c r="J32" s="25"/>
      <c r="K32" s="27"/>
    </row>
    <row r="33" spans="1:11">
      <c r="A33" s="63"/>
      <c r="B33" s="64" t="s">
        <v>30</v>
      </c>
      <c r="C33" s="64"/>
      <c r="D33" s="64"/>
      <c r="E33" s="64"/>
      <c r="F33" s="64"/>
      <c r="G33" s="64"/>
      <c r="H33" s="64"/>
      <c r="I33" s="64"/>
      <c r="J33" s="28">
        <f>SUM(J31:J32)</f>
        <v>0</v>
      </c>
      <c r="K33" s="27"/>
    </row>
    <row r="34" spans="1:11" ht="17.5" thickBot="1">
      <c r="A34" s="65" t="s">
        <v>33</v>
      </c>
      <c r="B34" s="66"/>
      <c r="C34" s="66"/>
      <c r="D34" s="66"/>
      <c r="E34" s="66"/>
      <c r="F34" s="66"/>
      <c r="G34" s="66"/>
      <c r="H34" s="66"/>
      <c r="I34" s="67"/>
      <c r="J34" s="39">
        <f>SUM(J25,J29,J33)</f>
        <v>900000</v>
      </c>
      <c r="K34" s="40"/>
    </row>
  </sheetData>
  <mergeCells count="9">
    <mergeCell ref="A31:A33"/>
    <mergeCell ref="B33:I33"/>
    <mergeCell ref="A34:I34"/>
    <mergeCell ref="A1:K1"/>
    <mergeCell ref="J2:K2"/>
    <mergeCell ref="A4:A25"/>
    <mergeCell ref="B25:I25"/>
    <mergeCell ref="A27:A29"/>
    <mergeCell ref="B29:I29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7"/>
  <sheetViews>
    <sheetView tabSelected="1" workbookViewId="0">
      <selection activeCell="H17" sqref="H17"/>
    </sheetView>
  </sheetViews>
  <sheetFormatPr defaultRowHeight="17"/>
  <cols>
    <col min="1" max="1" width="6.33203125" bestFit="1" customWidth="1"/>
    <col min="2" max="2" width="3.75" bestFit="1" customWidth="1"/>
    <col min="3" max="3" width="10.83203125" bestFit="1" customWidth="1"/>
    <col min="4" max="4" width="9.58203125" bestFit="1" customWidth="1"/>
    <col min="5" max="5" width="6.33203125" bestFit="1" customWidth="1"/>
    <col min="6" max="6" width="81.08203125" bestFit="1" customWidth="1"/>
    <col min="7" max="7" width="21.33203125" bestFit="1" customWidth="1"/>
    <col min="8" max="8" width="21.75" bestFit="1" customWidth="1"/>
    <col min="9" max="9" width="7.5" bestFit="1" customWidth="1"/>
    <col min="10" max="10" width="10.5" customWidth="1"/>
    <col min="11" max="11" width="27.83203125" bestFit="1" customWidth="1"/>
  </cols>
  <sheetData>
    <row r="1" spans="1:11" ht="26">
      <c r="A1" s="68" t="s">
        <v>582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17.5" thickBot="1">
      <c r="A2" s="14"/>
      <c r="B2" s="14"/>
      <c r="C2" s="15"/>
      <c r="D2" s="16"/>
      <c r="E2" s="14"/>
      <c r="F2" s="16"/>
      <c r="G2" s="16"/>
      <c r="H2" s="16"/>
      <c r="I2" s="16"/>
      <c r="J2" s="69" t="s">
        <v>19</v>
      </c>
      <c r="K2" s="70"/>
    </row>
    <row r="3" spans="1:11">
      <c r="A3" s="17" t="s">
        <v>20</v>
      </c>
      <c r="B3" s="18" t="s">
        <v>21</v>
      </c>
      <c r="C3" s="19" t="s">
        <v>22</v>
      </c>
      <c r="D3" s="18" t="s">
        <v>23</v>
      </c>
      <c r="E3" s="18" t="s">
        <v>24</v>
      </c>
      <c r="F3" s="18" t="s">
        <v>34</v>
      </c>
      <c r="G3" s="18" t="s">
        <v>35</v>
      </c>
      <c r="H3" s="18" t="s">
        <v>25</v>
      </c>
      <c r="I3" s="18" t="s">
        <v>26</v>
      </c>
      <c r="J3" s="18" t="s">
        <v>27</v>
      </c>
      <c r="K3" s="20" t="s">
        <v>28</v>
      </c>
    </row>
    <row r="4" spans="1:11">
      <c r="A4" s="71" t="s">
        <v>29</v>
      </c>
      <c r="B4" s="21">
        <v>1</v>
      </c>
      <c r="C4" s="44">
        <v>46054</v>
      </c>
      <c r="D4" s="45" t="s">
        <v>583</v>
      </c>
      <c r="E4" s="45" t="s">
        <v>584</v>
      </c>
      <c r="F4" s="46" t="s">
        <v>585</v>
      </c>
      <c r="G4" s="43" t="s">
        <v>586</v>
      </c>
      <c r="H4" s="42" t="s">
        <v>587</v>
      </c>
      <c r="I4" s="45" t="s">
        <v>588</v>
      </c>
      <c r="J4" s="47">
        <v>100000</v>
      </c>
      <c r="K4" s="41"/>
    </row>
    <row r="5" spans="1:11">
      <c r="A5" s="72"/>
      <c r="B5" s="21">
        <v>2</v>
      </c>
      <c r="C5" s="44">
        <v>46055</v>
      </c>
      <c r="D5" s="45" t="s">
        <v>589</v>
      </c>
      <c r="E5" s="45" t="s">
        <v>590</v>
      </c>
      <c r="F5" s="46" t="s">
        <v>591</v>
      </c>
      <c r="G5" s="43" t="s">
        <v>592</v>
      </c>
      <c r="H5" s="42" t="s">
        <v>593</v>
      </c>
      <c r="I5" s="45" t="s">
        <v>594</v>
      </c>
      <c r="J5" s="47">
        <v>100000</v>
      </c>
      <c r="K5" s="41"/>
    </row>
    <row r="6" spans="1:11">
      <c r="A6" s="72"/>
      <c r="B6" s="21">
        <v>3</v>
      </c>
      <c r="C6" s="44">
        <v>46056</v>
      </c>
      <c r="D6" s="45" t="s">
        <v>595</v>
      </c>
      <c r="E6" s="45" t="s">
        <v>596</v>
      </c>
      <c r="F6" s="46" t="s">
        <v>597</v>
      </c>
      <c r="G6" s="43" t="s">
        <v>598</v>
      </c>
      <c r="H6" s="42" t="s">
        <v>619</v>
      </c>
      <c r="I6" s="45" t="s">
        <v>620</v>
      </c>
      <c r="J6" s="47">
        <v>100000</v>
      </c>
      <c r="K6" s="41"/>
    </row>
    <row r="7" spans="1:11">
      <c r="A7" s="72"/>
      <c r="B7" s="21">
        <v>4</v>
      </c>
      <c r="C7" s="44">
        <v>46057</v>
      </c>
      <c r="D7" s="43" t="s">
        <v>604</v>
      </c>
      <c r="E7" s="45" t="s">
        <v>599</v>
      </c>
      <c r="F7" s="45" t="s">
        <v>605</v>
      </c>
      <c r="G7" s="43"/>
      <c r="H7" s="42"/>
      <c r="I7" s="42" t="s">
        <v>618</v>
      </c>
      <c r="J7" s="47">
        <v>100000</v>
      </c>
      <c r="K7" s="41"/>
    </row>
    <row r="8" spans="1:11">
      <c r="A8" s="72"/>
      <c r="B8" s="21">
        <v>5</v>
      </c>
      <c r="C8" s="44">
        <v>46058</v>
      </c>
      <c r="D8" s="43" t="s">
        <v>589</v>
      </c>
      <c r="E8" s="45" t="s">
        <v>599</v>
      </c>
      <c r="F8" s="45" t="s">
        <v>600</v>
      </c>
      <c r="G8" s="43" t="s">
        <v>601</v>
      </c>
      <c r="H8" s="42" t="s">
        <v>602</v>
      </c>
      <c r="I8" s="42" t="s">
        <v>603</v>
      </c>
      <c r="J8" s="47">
        <v>100000</v>
      </c>
      <c r="K8" s="41"/>
    </row>
    <row r="9" spans="1:11">
      <c r="A9" s="72"/>
      <c r="B9" s="21">
        <v>6</v>
      </c>
      <c r="C9" s="44">
        <v>46063</v>
      </c>
      <c r="D9" s="43" t="s">
        <v>606</v>
      </c>
      <c r="E9" s="45" t="s">
        <v>607</v>
      </c>
      <c r="F9" s="45" t="s">
        <v>608</v>
      </c>
      <c r="G9" s="43" t="s">
        <v>609</v>
      </c>
      <c r="H9" s="42" t="s">
        <v>610</v>
      </c>
      <c r="I9" s="42" t="s">
        <v>611</v>
      </c>
      <c r="J9" s="47">
        <v>100000</v>
      </c>
      <c r="K9" s="41"/>
    </row>
    <row r="10" spans="1:11">
      <c r="A10" s="72"/>
      <c r="B10" s="21">
        <v>7</v>
      </c>
      <c r="C10" s="44">
        <v>46064</v>
      </c>
      <c r="D10" s="43" t="s">
        <v>612</v>
      </c>
      <c r="E10" s="45" t="s">
        <v>613</v>
      </c>
      <c r="F10" s="45" t="s">
        <v>614</v>
      </c>
      <c r="G10" s="43" t="s">
        <v>615</v>
      </c>
      <c r="H10" s="42" t="s">
        <v>616</v>
      </c>
      <c r="I10" s="42" t="s">
        <v>617</v>
      </c>
      <c r="J10" s="47">
        <v>100000</v>
      </c>
      <c r="K10" s="41"/>
    </row>
    <row r="11" spans="1:11">
      <c r="A11" s="72"/>
      <c r="B11" s="21">
        <v>8</v>
      </c>
      <c r="C11" s="44"/>
      <c r="D11" s="43"/>
      <c r="E11" s="45"/>
      <c r="F11" s="45"/>
      <c r="G11" s="43"/>
      <c r="H11" s="42"/>
      <c r="I11" s="42"/>
      <c r="J11" s="47"/>
      <c r="K11" s="41"/>
    </row>
    <row r="12" spans="1:11">
      <c r="A12" s="72"/>
      <c r="B12" s="21">
        <v>9</v>
      </c>
      <c r="C12" s="44"/>
      <c r="D12" s="43"/>
      <c r="E12" s="45"/>
      <c r="F12" s="45"/>
      <c r="G12" s="43"/>
      <c r="H12" s="42"/>
      <c r="I12" s="42"/>
      <c r="J12" s="47"/>
      <c r="K12" s="41"/>
    </row>
    <row r="13" spans="1:11">
      <c r="A13" s="72"/>
      <c r="B13" s="21">
        <v>10</v>
      </c>
      <c r="C13" s="44"/>
      <c r="D13" s="43"/>
      <c r="E13" s="45"/>
      <c r="F13" s="45"/>
      <c r="G13" s="43"/>
      <c r="H13" s="42"/>
      <c r="I13" s="42"/>
      <c r="J13" s="47"/>
      <c r="K13" s="41"/>
    </row>
    <row r="14" spans="1:11">
      <c r="A14" s="72"/>
      <c r="B14" s="21">
        <v>11</v>
      </c>
      <c r="C14" s="44"/>
      <c r="D14" s="43"/>
      <c r="E14" s="45"/>
      <c r="F14" s="49"/>
      <c r="G14" s="43"/>
      <c r="H14" s="42"/>
      <c r="I14" s="42"/>
      <c r="J14" s="47"/>
      <c r="K14" s="41"/>
    </row>
    <row r="15" spans="1:11">
      <c r="A15" s="72"/>
      <c r="B15" s="21">
        <v>12</v>
      </c>
      <c r="C15" s="44"/>
      <c r="D15" s="43"/>
      <c r="E15" s="45"/>
      <c r="F15" s="49"/>
      <c r="G15" s="43"/>
      <c r="H15" s="42"/>
      <c r="I15" s="42"/>
      <c r="J15" s="47"/>
      <c r="K15" s="41"/>
    </row>
    <row r="16" spans="1:11">
      <c r="A16" s="72"/>
      <c r="B16" s="21">
        <v>13</v>
      </c>
      <c r="C16" s="44"/>
      <c r="D16" s="43"/>
      <c r="E16" s="45"/>
      <c r="F16" s="49"/>
      <c r="G16" s="43"/>
      <c r="H16" s="42"/>
      <c r="I16" s="42"/>
      <c r="J16" s="47"/>
      <c r="K16" s="41"/>
    </row>
    <row r="17" spans="1:11">
      <c r="A17" s="72"/>
      <c r="B17" s="21">
        <v>14</v>
      </c>
      <c r="C17" s="44"/>
      <c r="D17" s="43"/>
      <c r="E17" s="45"/>
      <c r="F17" s="49"/>
      <c r="G17" s="43"/>
      <c r="H17" s="42"/>
      <c r="I17" s="42"/>
      <c r="J17" s="47"/>
      <c r="K17" s="41"/>
    </row>
    <row r="18" spans="1:11">
      <c r="A18" s="72"/>
      <c r="B18" s="21">
        <v>15</v>
      </c>
      <c r="C18" s="44"/>
      <c r="D18" s="43"/>
      <c r="E18" s="45"/>
      <c r="F18" s="49"/>
      <c r="G18" s="43"/>
      <c r="H18" s="42"/>
      <c r="I18" s="42"/>
      <c r="J18" s="47"/>
      <c r="K18" s="41"/>
    </row>
    <row r="19" spans="1:11">
      <c r="A19" s="72"/>
      <c r="B19" s="21">
        <v>16</v>
      </c>
      <c r="C19" s="44"/>
      <c r="D19" s="43"/>
      <c r="E19" s="45"/>
      <c r="F19" s="49"/>
      <c r="G19" s="43"/>
      <c r="H19" s="42"/>
      <c r="I19" s="42"/>
      <c r="J19" s="47"/>
      <c r="K19" s="41"/>
    </row>
    <row r="20" spans="1:11">
      <c r="A20" s="72"/>
      <c r="B20" s="21">
        <v>17</v>
      </c>
      <c r="C20" s="44"/>
      <c r="D20" s="43"/>
      <c r="E20" s="45"/>
      <c r="F20" s="49"/>
      <c r="G20" s="43"/>
      <c r="H20" s="42"/>
      <c r="I20" s="42"/>
      <c r="J20" s="47"/>
      <c r="K20" s="41"/>
    </row>
    <row r="21" spans="1:11">
      <c r="A21" s="72"/>
      <c r="B21" s="21">
        <v>18</v>
      </c>
      <c r="C21" s="44"/>
      <c r="D21" s="43"/>
      <c r="E21" s="45"/>
      <c r="F21" s="45"/>
      <c r="G21" s="43"/>
      <c r="H21" s="42"/>
      <c r="I21" s="42"/>
      <c r="J21" s="47"/>
      <c r="K21" s="41"/>
    </row>
    <row r="22" spans="1:11">
      <c r="A22" s="72"/>
      <c r="B22" s="21">
        <v>19</v>
      </c>
      <c r="C22" s="44"/>
      <c r="D22" s="43"/>
      <c r="E22" s="45"/>
      <c r="F22" s="45"/>
      <c r="G22" s="43"/>
      <c r="H22" s="42"/>
      <c r="I22" s="42"/>
      <c r="J22" s="47"/>
      <c r="K22" s="41"/>
    </row>
    <row r="23" spans="1:11">
      <c r="A23" s="72"/>
      <c r="B23" s="21">
        <v>20</v>
      </c>
      <c r="C23" s="44"/>
      <c r="D23" s="43"/>
      <c r="E23" s="45"/>
      <c r="F23" s="45"/>
      <c r="G23" s="43"/>
      <c r="H23" s="42"/>
      <c r="I23" s="42"/>
      <c r="J23" s="47"/>
      <c r="K23" s="41"/>
    </row>
    <row r="24" spans="1:11">
      <c r="A24" s="72"/>
      <c r="B24" s="21">
        <v>21</v>
      </c>
      <c r="C24" s="44"/>
      <c r="D24" s="43"/>
      <c r="E24" s="45"/>
      <c r="F24" s="45"/>
      <c r="G24" s="43"/>
      <c r="H24" s="42"/>
      <c r="I24" s="42"/>
      <c r="J24" s="47"/>
      <c r="K24" s="41"/>
    </row>
    <row r="25" spans="1:11">
      <c r="A25" s="72"/>
      <c r="B25" s="21">
        <v>22</v>
      </c>
      <c r="C25" s="44"/>
      <c r="D25" s="43"/>
      <c r="E25" s="45"/>
      <c r="F25" s="45"/>
      <c r="G25" s="43"/>
      <c r="H25" s="42"/>
      <c r="I25" s="42"/>
      <c r="J25" s="47"/>
      <c r="K25" s="41"/>
    </row>
    <row r="26" spans="1:11">
      <c r="A26" s="72"/>
      <c r="B26" s="21">
        <v>23</v>
      </c>
      <c r="C26" s="44"/>
      <c r="D26" s="43"/>
      <c r="E26" s="45"/>
      <c r="F26" s="43"/>
      <c r="G26" s="43"/>
      <c r="H26" s="43"/>
      <c r="I26" s="43"/>
      <c r="J26" s="47"/>
      <c r="K26" s="41"/>
    </row>
    <row r="27" spans="1:11" ht="17.5" thickBot="1">
      <c r="A27" s="73"/>
      <c r="B27" s="74" t="s">
        <v>30</v>
      </c>
      <c r="C27" s="75"/>
      <c r="D27" s="75"/>
      <c r="E27" s="75"/>
      <c r="F27" s="75"/>
      <c r="G27" s="75"/>
      <c r="H27" s="75"/>
      <c r="I27" s="75"/>
      <c r="J27" s="30">
        <f>SUM(J4:J26)</f>
        <v>700000</v>
      </c>
      <c r="K27" s="27"/>
    </row>
    <row r="28" spans="1:11">
      <c r="A28" s="17" t="s">
        <v>20</v>
      </c>
      <c r="B28" s="18" t="s">
        <v>21</v>
      </c>
      <c r="C28" s="19" t="s">
        <v>22</v>
      </c>
      <c r="D28" s="18" t="s">
        <v>23</v>
      </c>
      <c r="E28" s="18" t="s">
        <v>24</v>
      </c>
      <c r="F28" s="18" t="s">
        <v>34</v>
      </c>
      <c r="G28" s="18" t="s">
        <v>36</v>
      </c>
      <c r="H28" s="18" t="s">
        <v>25</v>
      </c>
      <c r="I28" s="18" t="s">
        <v>26</v>
      </c>
      <c r="J28" s="18" t="s">
        <v>27</v>
      </c>
      <c r="K28" s="20" t="s">
        <v>28</v>
      </c>
    </row>
    <row r="29" spans="1:11">
      <c r="A29" s="61" t="s">
        <v>31</v>
      </c>
      <c r="B29" s="22">
        <v>1</v>
      </c>
      <c r="C29" s="32"/>
      <c r="D29" s="43"/>
      <c r="E29" s="43"/>
      <c r="F29" s="50"/>
      <c r="G29" s="43"/>
      <c r="H29" s="42"/>
      <c r="I29" s="42"/>
      <c r="J29" s="34"/>
      <c r="K29" s="27"/>
    </row>
    <row r="30" spans="1:11">
      <c r="A30" s="62"/>
      <c r="B30" s="22">
        <v>2</v>
      </c>
      <c r="C30" s="32"/>
      <c r="D30" s="31"/>
      <c r="E30" s="31"/>
      <c r="F30" s="52"/>
      <c r="G30" s="31"/>
      <c r="H30" s="23"/>
      <c r="I30" s="33"/>
      <c r="J30" s="34"/>
      <c r="K30" s="27"/>
    </row>
    <row r="31" spans="1:11">
      <c r="A31" s="62"/>
      <c r="B31" s="22"/>
      <c r="C31" s="32"/>
      <c r="D31" s="31"/>
      <c r="E31" s="31"/>
      <c r="F31" s="31"/>
      <c r="G31" s="31"/>
      <c r="H31" s="23"/>
      <c r="I31" s="33"/>
      <c r="J31" s="34"/>
      <c r="K31" s="27"/>
    </row>
    <row r="32" spans="1:11" ht="17.5" thickBot="1">
      <c r="A32" s="63"/>
      <c r="B32" s="64" t="s">
        <v>30</v>
      </c>
      <c r="C32" s="64"/>
      <c r="D32" s="64"/>
      <c r="E32" s="64"/>
      <c r="F32" s="64"/>
      <c r="G32" s="64"/>
      <c r="H32" s="64"/>
      <c r="I32" s="64"/>
      <c r="J32" s="28">
        <f>SUM(J29:J30)</f>
        <v>0</v>
      </c>
      <c r="K32" s="27"/>
    </row>
    <row r="33" spans="1:11">
      <c r="A33" s="17" t="s">
        <v>20</v>
      </c>
      <c r="B33" s="18" t="s">
        <v>21</v>
      </c>
      <c r="C33" s="19" t="s">
        <v>22</v>
      </c>
      <c r="D33" s="18" t="s">
        <v>23</v>
      </c>
      <c r="E33" s="18" t="s">
        <v>24</v>
      </c>
      <c r="F33" s="18" t="s">
        <v>34</v>
      </c>
      <c r="G33" s="18"/>
      <c r="H33" s="18" t="s">
        <v>25</v>
      </c>
      <c r="I33" s="18" t="s">
        <v>26</v>
      </c>
      <c r="J33" s="18" t="s">
        <v>27</v>
      </c>
      <c r="K33" s="20" t="s">
        <v>28</v>
      </c>
    </row>
    <row r="34" spans="1:11">
      <c r="A34" s="61" t="s">
        <v>32</v>
      </c>
      <c r="B34" s="24"/>
      <c r="C34" s="26"/>
      <c r="D34" s="24"/>
      <c r="E34" s="24"/>
      <c r="F34" s="29"/>
      <c r="G34" s="29"/>
      <c r="H34" s="23"/>
      <c r="I34" s="24"/>
      <c r="J34" s="25"/>
      <c r="K34" s="27"/>
    </row>
    <row r="35" spans="1:11">
      <c r="A35" s="62"/>
      <c r="B35" s="24"/>
      <c r="C35" s="26"/>
      <c r="D35" s="24"/>
      <c r="E35" s="24"/>
      <c r="F35" s="29"/>
      <c r="G35" s="29"/>
      <c r="H35" s="23"/>
      <c r="I35" s="24"/>
      <c r="J35" s="25"/>
      <c r="K35" s="27"/>
    </row>
    <row r="36" spans="1:11">
      <c r="A36" s="63"/>
      <c r="B36" s="64" t="s">
        <v>30</v>
      </c>
      <c r="C36" s="64"/>
      <c r="D36" s="64"/>
      <c r="E36" s="64"/>
      <c r="F36" s="64"/>
      <c r="G36" s="64"/>
      <c r="H36" s="64"/>
      <c r="I36" s="64"/>
      <c r="J36" s="28">
        <f>SUM(J34:J35)</f>
        <v>0</v>
      </c>
      <c r="K36" s="27"/>
    </row>
    <row r="37" spans="1:11" ht="17.5" thickBot="1">
      <c r="A37" s="65" t="s">
        <v>33</v>
      </c>
      <c r="B37" s="66"/>
      <c r="C37" s="66"/>
      <c r="D37" s="66"/>
      <c r="E37" s="66"/>
      <c r="F37" s="66"/>
      <c r="G37" s="66"/>
      <c r="H37" s="66"/>
      <c r="I37" s="67"/>
      <c r="J37" s="39">
        <f>SUM(J27,J32,J36)</f>
        <v>700000</v>
      </c>
      <c r="K37" s="40"/>
    </row>
  </sheetData>
  <mergeCells count="9">
    <mergeCell ref="A34:A36"/>
    <mergeCell ref="B36:I36"/>
    <mergeCell ref="A37:I37"/>
    <mergeCell ref="A1:K1"/>
    <mergeCell ref="J2:K2"/>
    <mergeCell ref="A4:A27"/>
    <mergeCell ref="B27:I27"/>
    <mergeCell ref="A29:A32"/>
    <mergeCell ref="B32:I32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K31"/>
  <sheetViews>
    <sheetView workbookViewId="0">
      <selection activeCell="I15" sqref="I15"/>
    </sheetView>
  </sheetViews>
  <sheetFormatPr defaultRowHeight="17"/>
  <cols>
    <col min="1" max="1" width="6.33203125" bestFit="1" customWidth="1"/>
    <col min="2" max="2" width="3.75" bestFit="1" customWidth="1"/>
    <col min="3" max="3" width="10.83203125" bestFit="1" customWidth="1"/>
    <col min="4" max="4" width="9.58203125" bestFit="1" customWidth="1"/>
    <col min="5" max="5" width="6.33203125" bestFit="1" customWidth="1"/>
    <col min="6" max="6" width="81.08203125" bestFit="1" customWidth="1"/>
    <col min="7" max="7" width="21.33203125" bestFit="1" customWidth="1"/>
    <col min="8" max="8" width="21.75" bestFit="1" customWidth="1"/>
    <col min="9" max="9" width="7.5" bestFit="1" customWidth="1"/>
    <col min="10" max="10" width="10.5" customWidth="1"/>
    <col min="11" max="11" width="27.83203125" bestFit="1" customWidth="1"/>
  </cols>
  <sheetData>
    <row r="1" spans="1:11" ht="26">
      <c r="A1" s="68" t="s">
        <v>61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17.5" thickBot="1">
      <c r="A2" s="14"/>
      <c r="B2" s="14"/>
      <c r="C2" s="15"/>
      <c r="D2" s="16"/>
      <c r="E2" s="14"/>
      <c r="F2" s="16"/>
      <c r="G2" s="16"/>
      <c r="H2" s="16"/>
      <c r="I2" s="16"/>
      <c r="J2" s="69" t="s">
        <v>19</v>
      </c>
      <c r="K2" s="70"/>
    </row>
    <row r="3" spans="1:11">
      <c r="A3" s="17" t="s">
        <v>20</v>
      </c>
      <c r="B3" s="18" t="s">
        <v>21</v>
      </c>
      <c r="C3" s="19" t="s">
        <v>22</v>
      </c>
      <c r="D3" s="18" t="s">
        <v>23</v>
      </c>
      <c r="E3" s="18" t="s">
        <v>24</v>
      </c>
      <c r="F3" s="18" t="s">
        <v>34</v>
      </c>
      <c r="G3" s="18" t="s">
        <v>35</v>
      </c>
      <c r="H3" s="18" t="s">
        <v>25</v>
      </c>
      <c r="I3" s="18" t="s">
        <v>26</v>
      </c>
      <c r="J3" s="18" t="s">
        <v>27</v>
      </c>
      <c r="K3" s="20" t="s">
        <v>28</v>
      </c>
    </row>
    <row r="4" spans="1:11">
      <c r="A4" s="71" t="s">
        <v>29</v>
      </c>
      <c r="B4" s="21">
        <v>1</v>
      </c>
      <c r="C4" s="44">
        <v>45724</v>
      </c>
      <c r="D4" s="45" t="s">
        <v>83</v>
      </c>
      <c r="E4" s="45" t="s">
        <v>84</v>
      </c>
      <c r="F4" s="46" t="s">
        <v>85</v>
      </c>
      <c r="G4" s="43"/>
      <c r="H4" s="42"/>
      <c r="I4" s="45" t="s">
        <v>86</v>
      </c>
      <c r="J4" s="47">
        <v>250000</v>
      </c>
      <c r="K4" s="41"/>
    </row>
    <row r="5" spans="1:11">
      <c r="A5" s="72"/>
      <c r="B5" s="21">
        <v>2</v>
      </c>
      <c r="C5" s="44">
        <v>45724</v>
      </c>
      <c r="D5" s="45" t="s">
        <v>89</v>
      </c>
      <c r="E5" s="45" t="s">
        <v>92</v>
      </c>
      <c r="F5" s="46" t="s">
        <v>85</v>
      </c>
      <c r="G5" s="43"/>
      <c r="H5" s="42"/>
      <c r="I5" s="42" t="s">
        <v>87</v>
      </c>
      <c r="J5" s="47">
        <v>100000</v>
      </c>
      <c r="K5" s="41"/>
    </row>
    <row r="6" spans="1:11">
      <c r="A6" s="72"/>
      <c r="B6" s="21">
        <v>3</v>
      </c>
      <c r="C6" s="44">
        <v>45724</v>
      </c>
      <c r="D6" s="45" t="s">
        <v>90</v>
      </c>
      <c r="E6" s="45" t="s">
        <v>93</v>
      </c>
      <c r="F6" s="46" t="s">
        <v>85</v>
      </c>
      <c r="G6" s="43"/>
      <c r="H6" s="42" t="s">
        <v>95</v>
      </c>
      <c r="I6" s="42" t="s">
        <v>86</v>
      </c>
      <c r="J6" s="47">
        <v>100000</v>
      </c>
      <c r="K6" s="41"/>
    </row>
    <row r="7" spans="1:11">
      <c r="A7" s="72"/>
      <c r="B7" s="21">
        <v>4</v>
      </c>
      <c r="C7" s="44">
        <v>45724</v>
      </c>
      <c r="D7" s="45" t="s">
        <v>91</v>
      </c>
      <c r="E7" s="45" t="s">
        <v>84</v>
      </c>
      <c r="F7" s="46" t="s">
        <v>85</v>
      </c>
      <c r="G7" s="43"/>
      <c r="H7" s="42" t="s">
        <v>94</v>
      </c>
      <c r="I7" s="42" t="s">
        <v>88</v>
      </c>
      <c r="J7" s="47">
        <v>100000</v>
      </c>
      <c r="K7" s="41"/>
    </row>
    <row r="8" spans="1:11">
      <c r="A8" s="72"/>
      <c r="B8" s="21">
        <v>5</v>
      </c>
      <c r="C8" s="44">
        <v>45726</v>
      </c>
      <c r="D8" s="45" t="s">
        <v>96</v>
      </c>
      <c r="E8" s="45" t="s">
        <v>97</v>
      </c>
      <c r="F8" s="46" t="s">
        <v>98</v>
      </c>
      <c r="G8" s="43" t="s">
        <v>101</v>
      </c>
      <c r="H8" s="42" t="s">
        <v>99</v>
      </c>
      <c r="I8" s="42" t="s">
        <v>100</v>
      </c>
      <c r="J8" s="47">
        <v>100000</v>
      </c>
      <c r="K8" s="41"/>
    </row>
    <row r="9" spans="1:11">
      <c r="A9" s="72"/>
      <c r="B9" s="21">
        <v>6</v>
      </c>
      <c r="C9" s="44">
        <v>45730</v>
      </c>
      <c r="D9" s="45" t="s">
        <v>107</v>
      </c>
      <c r="E9" s="45" t="s">
        <v>39</v>
      </c>
      <c r="F9" s="45" t="s">
        <v>109</v>
      </c>
      <c r="G9" s="43"/>
      <c r="H9" s="42" t="s">
        <v>108</v>
      </c>
      <c r="I9" s="42" t="s">
        <v>110</v>
      </c>
      <c r="J9" s="47">
        <v>100000</v>
      </c>
      <c r="K9" s="41"/>
    </row>
    <row r="10" spans="1:11">
      <c r="A10" s="72"/>
      <c r="B10" s="21">
        <v>7</v>
      </c>
      <c r="C10" s="44">
        <v>45738</v>
      </c>
      <c r="D10" s="45" t="s">
        <v>102</v>
      </c>
      <c r="E10" s="45" t="s">
        <v>39</v>
      </c>
      <c r="F10" s="45" t="s">
        <v>103</v>
      </c>
      <c r="G10" s="43" t="s">
        <v>104</v>
      </c>
      <c r="H10" s="42" t="s">
        <v>105</v>
      </c>
      <c r="I10" s="42" t="s">
        <v>106</v>
      </c>
      <c r="J10" s="47">
        <v>100000</v>
      </c>
      <c r="K10" s="41"/>
    </row>
    <row r="11" spans="1:11">
      <c r="A11" s="72"/>
      <c r="B11" s="21">
        <v>8</v>
      </c>
      <c r="C11" s="44">
        <v>45740</v>
      </c>
      <c r="D11" s="45" t="s">
        <v>111</v>
      </c>
      <c r="E11" s="45" t="s">
        <v>112</v>
      </c>
      <c r="F11" s="45" t="s">
        <v>113</v>
      </c>
      <c r="G11" s="43"/>
      <c r="H11" s="42" t="s">
        <v>114</v>
      </c>
      <c r="I11" s="42" t="s">
        <v>115</v>
      </c>
      <c r="J11" s="47">
        <v>100000</v>
      </c>
      <c r="K11" s="41"/>
    </row>
    <row r="12" spans="1:11">
      <c r="A12" s="72"/>
      <c r="B12" s="21">
        <v>9</v>
      </c>
      <c r="C12" s="44">
        <v>45742</v>
      </c>
      <c r="D12" s="43" t="s">
        <v>40</v>
      </c>
      <c r="E12" s="45" t="s">
        <v>37</v>
      </c>
      <c r="F12" s="45" t="s">
        <v>122</v>
      </c>
      <c r="G12" s="43" t="s">
        <v>123</v>
      </c>
      <c r="H12" s="42" t="s">
        <v>116</v>
      </c>
      <c r="I12" s="42" t="s">
        <v>124</v>
      </c>
      <c r="J12" s="47">
        <v>100000</v>
      </c>
      <c r="K12" s="41"/>
    </row>
    <row r="13" spans="1:11">
      <c r="A13" s="72"/>
      <c r="B13" s="21">
        <v>10</v>
      </c>
      <c r="C13" s="44">
        <v>45747</v>
      </c>
      <c r="D13" s="43" t="s">
        <v>125</v>
      </c>
      <c r="E13" s="45" t="s">
        <v>37</v>
      </c>
      <c r="F13" s="45" t="s">
        <v>126</v>
      </c>
      <c r="G13" s="43"/>
      <c r="H13" s="42" t="s">
        <v>127</v>
      </c>
      <c r="I13" s="42" t="s">
        <v>128</v>
      </c>
      <c r="J13" s="47">
        <v>100000</v>
      </c>
      <c r="K13" s="41"/>
    </row>
    <row r="14" spans="1:11">
      <c r="A14" s="72"/>
      <c r="B14" s="21">
        <v>11</v>
      </c>
      <c r="C14" s="44">
        <v>45747</v>
      </c>
      <c r="D14" s="43" t="s">
        <v>75</v>
      </c>
      <c r="E14" s="45" t="s">
        <v>129</v>
      </c>
      <c r="F14" s="45" t="s">
        <v>130</v>
      </c>
      <c r="G14" s="43" t="s">
        <v>131</v>
      </c>
      <c r="H14" s="42" t="s">
        <v>132</v>
      </c>
      <c r="I14" s="42" t="s">
        <v>133</v>
      </c>
      <c r="J14" s="47">
        <v>100000</v>
      </c>
      <c r="K14" s="41"/>
    </row>
    <row r="15" spans="1:11">
      <c r="A15" s="72"/>
      <c r="B15" s="21">
        <v>12</v>
      </c>
      <c r="C15" s="44">
        <v>45747</v>
      </c>
      <c r="D15" s="43" t="s">
        <v>40</v>
      </c>
      <c r="E15" s="45" t="s">
        <v>134</v>
      </c>
      <c r="F15" s="45" t="s">
        <v>135</v>
      </c>
      <c r="G15" s="43"/>
      <c r="H15" s="42"/>
      <c r="I15" s="42" t="s">
        <v>146</v>
      </c>
      <c r="J15" s="47">
        <v>100000</v>
      </c>
      <c r="K15" s="41"/>
    </row>
    <row r="16" spans="1:11">
      <c r="A16" s="72"/>
      <c r="B16" s="21">
        <v>13</v>
      </c>
      <c r="C16" s="44">
        <v>45747</v>
      </c>
      <c r="D16" s="43" t="s">
        <v>136</v>
      </c>
      <c r="E16" s="45" t="s">
        <v>134</v>
      </c>
      <c r="F16" s="45" t="s">
        <v>137</v>
      </c>
      <c r="G16" s="43" t="s">
        <v>138</v>
      </c>
      <c r="H16" s="42" t="s">
        <v>76</v>
      </c>
      <c r="I16" s="42" t="s">
        <v>139</v>
      </c>
      <c r="J16" s="47">
        <v>100000</v>
      </c>
      <c r="K16" s="41"/>
    </row>
    <row r="17" spans="1:11">
      <c r="A17" s="72"/>
      <c r="B17" s="21">
        <v>14</v>
      </c>
      <c r="C17" s="44">
        <v>45747</v>
      </c>
      <c r="D17" s="43" t="s">
        <v>140</v>
      </c>
      <c r="E17" s="45" t="s">
        <v>141</v>
      </c>
      <c r="F17" s="45" t="s">
        <v>142</v>
      </c>
      <c r="G17" s="43" t="s">
        <v>143</v>
      </c>
      <c r="H17" s="42" t="s">
        <v>145</v>
      </c>
      <c r="I17" s="42" t="s">
        <v>144</v>
      </c>
      <c r="J17" s="47">
        <v>100000</v>
      </c>
      <c r="K17" s="41"/>
    </row>
    <row r="18" spans="1:11">
      <c r="A18" s="72"/>
      <c r="B18" s="21">
        <v>15</v>
      </c>
      <c r="C18" s="44"/>
      <c r="D18" s="43"/>
      <c r="E18" s="45"/>
      <c r="F18" s="45"/>
      <c r="G18" s="43"/>
      <c r="H18" s="42"/>
      <c r="I18" s="42"/>
      <c r="J18" s="47"/>
      <c r="K18" s="41"/>
    </row>
    <row r="19" spans="1:11">
      <c r="A19" s="72"/>
      <c r="B19" s="21">
        <v>16</v>
      </c>
      <c r="C19" s="44"/>
      <c r="D19" s="43"/>
      <c r="E19" s="45"/>
      <c r="F19" s="45"/>
      <c r="G19" s="43"/>
      <c r="H19" s="42"/>
      <c r="I19" s="42"/>
      <c r="J19" s="47"/>
      <c r="K19" s="41"/>
    </row>
    <row r="20" spans="1:11">
      <c r="A20" s="72"/>
      <c r="B20" s="21">
        <v>17</v>
      </c>
      <c r="C20" s="44"/>
      <c r="D20" s="43"/>
      <c r="E20" s="45"/>
      <c r="F20" s="45"/>
      <c r="G20" s="43"/>
      <c r="H20" s="42"/>
      <c r="I20" s="42"/>
      <c r="J20" s="47"/>
      <c r="K20" s="41"/>
    </row>
    <row r="21" spans="1:11">
      <c r="A21" s="72"/>
      <c r="B21" s="21"/>
      <c r="C21" s="44"/>
      <c r="D21" s="43"/>
      <c r="E21" s="45"/>
      <c r="F21" s="43"/>
      <c r="G21" s="43"/>
      <c r="H21" s="43"/>
      <c r="I21" s="43"/>
      <c r="J21" s="47"/>
      <c r="K21" s="41"/>
    </row>
    <row r="22" spans="1:11" ht="17.5" thickBot="1">
      <c r="A22" s="73"/>
      <c r="B22" s="77" t="s">
        <v>30</v>
      </c>
      <c r="C22" s="78"/>
      <c r="D22" s="78"/>
      <c r="E22" s="78"/>
      <c r="F22" s="78"/>
      <c r="G22" s="78"/>
      <c r="H22" s="78"/>
      <c r="I22" s="79"/>
      <c r="J22" s="30">
        <f>SUM(J4:J21)</f>
        <v>1550000</v>
      </c>
      <c r="K22" s="27"/>
    </row>
    <row r="23" spans="1:11">
      <c r="A23" s="17" t="s">
        <v>20</v>
      </c>
      <c r="B23" s="18" t="s">
        <v>21</v>
      </c>
      <c r="C23" s="19" t="s">
        <v>22</v>
      </c>
      <c r="D23" s="18" t="s">
        <v>23</v>
      </c>
      <c r="E23" s="18" t="s">
        <v>24</v>
      </c>
      <c r="F23" s="18" t="s">
        <v>34</v>
      </c>
      <c r="G23" s="18" t="s">
        <v>36</v>
      </c>
      <c r="H23" s="18" t="s">
        <v>25</v>
      </c>
      <c r="I23" s="18" t="s">
        <v>26</v>
      </c>
      <c r="J23" s="18" t="s">
        <v>27</v>
      </c>
      <c r="K23" s="20" t="s">
        <v>28</v>
      </c>
    </row>
    <row r="24" spans="1:11">
      <c r="A24" s="61" t="s">
        <v>31</v>
      </c>
      <c r="B24" s="22"/>
      <c r="C24" s="32">
        <v>45724</v>
      </c>
      <c r="D24" s="43" t="s">
        <v>77</v>
      </c>
      <c r="E24" s="43" t="s">
        <v>78</v>
      </c>
      <c r="F24" s="43" t="s">
        <v>79</v>
      </c>
      <c r="G24" s="43" t="s">
        <v>80</v>
      </c>
      <c r="H24" s="42" t="s">
        <v>81</v>
      </c>
      <c r="I24" s="42" t="s">
        <v>82</v>
      </c>
      <c r="J24" s="34">
        <v>100000</v>
      </c>
      <c r="K24" s="27"/>
    </row>
    <row r="25" spans="1:11">
      <c r="A25" s="62"/>
      <c r="B25" s="22"/>
      <c r="C25" s="32">
        <v>45745</v>
      </c>
      <c r="D25" s="31" t="s">
        <v>117</v>
      </c>
      <c r="E25" s="31" t="s">
        <v>37</v>
      </c>
      <c r="F25" s="31" t="s">
        <v>118</v>
      </c>
      <c r="G25" s="31" t="s">
        <v>119</v>
      </c>
      <c r="H25" s="23" t="s">
        <v>120</v>
      </c>
      <c r="I25" s="33" t="s">
        <v>121</v>
      </c>
      <c r="J25" s="34">
        <v>100000</v>
      </c>
      <c r="K25" s="27"/>
    </row>
    <row r="26" spans="1:11" ht="17.5" thickBot="1">
      <c r="A26" s="63"/>
      <c r="B26" s="77" t="s">
        <v>30</v>
      </c>
      <c r="C26" s="78"/>
      <c r="D26" s="78"/>
      <c r="E26" s="78"/>
      <c r="F26" s="78"/>
      <c r="G26" s="78"/>
      <c r="H26" s="78"/>
      <c r="I26" s="79"/>
      <c r="J26" s="28">
        <f>SUM(J24:J25)</f>
        <v>200000</v>
      </c>
      <c r="K26" s="27"/>
    </row>
    <row r="27" spans="1:11">
      <c r="A27" s="17" t="s">
        <v>20</v>
      </c>
      <c r="B27" s="18" t="s">
        <v>21</v>
      </c>
      <c r="C27" s="19" t="s">
        <v>22</v>
      </c>
      <c r="D27" s="18" t="s">
        <v>23</v>
      </c>
      <c r="E27" s="18" t="s">
        <v>24</v>
      </c>
      <c r="F27" s="18" t="s">
        <v>34</v>
      </c>
      <c r="G27" s="18"/>
      <c r="H27" s="18" t="s">
        <v>25</v>
      </c>
      <c r="I27" s="18" t="s">
        <v>26</v>
      </c>
      <c r="J27" s="18" t="s">
        <v>27</v>
      </c>
      <c r="K27" s="20" t="s">
        <v>28</v>
      </c>
    </row>
    <row r="28" spans="1:11">
      <c r="A28" s="61" t="s">
        <v>32</v>
      </c>
      <c r="B28" s="24"/>
      <c r="C28" s="26"/>
      <c r="D28" s="24"/>
      <c r="E28" s="24"/>
      <c r="F28" s="29"/>
      <c r="G28" s="29"/>
      <c r="H28" s="23"/>
      <c r="I28" s="24"/>
      <c r="J28" s="25"/>
      <c r="K28" s="27"/>
    </row>
    <row r="29" spans="1:11">
      <c r="A29" s="62"/>
      <c r="B29" s="24"/>
      <c r="C29" s="26"/>
      <c r="D29" s="24"/>
      <c r="E29" s="24"/>
      <c r="F29" s="29"/>
      <c r="G29" s="29"/>
      <c r="H29" s="23"/>
      <c r="I29" s="24"/>
      <c r="J29" s="25"/>
      <c r="K29" s="27"/>
    </row>
    <row r="30" spans="1:11">
      <c r="A30" s="63"/>
      <c r="B30" s="74" t="s">
        <v>30</v>
      </c>
      <c r="C30" s="75"/>
      <c r="D30" s="75"/>
      <c r="E30" s="75"/>
      <c r="F30" s="75"/>
      <c r="G30" s="75"/>
      <c r="H30" s="75"/>
      <c r="I30" s="76"/>
      <c r="J30" s="28">
        <f>SUM(J28:J29)</f>
        <v>0</v>
      </c>
      <c r="K30" s="27"/>
    </row>
    <row r="31" spans="1:11" ht="17.5" thickBot="1">
      <c r="A31" s="65" t="s">
        <v>33</v>
      </c>
      <c r="B31" s="66"/>
      <c r="C31" s="66"/>
      <c r="D31" s="66"/>
      <c r="E31" s="66"/>
      <c r="F31" s="66"/>
      <c r="G31" s="66"/>
      <c r="H31" s="66"/>
      <c r="I31" s="67"/>
      <c r="J31" s="39">
        <f>SUM(J22,J26,J30)</f>
        <v>1750000</v>
      </c>
      <c r="K31" s="40"/>
    </row>
  </sheetData>
  <mergeCells count="9">
    <mergeCell ref="A31:I31"/>
    <mergeCell ref="A28:A30"/>
    <mergeCell ref="B30:I30"/>
    <mergeCell ref="A1:K1"/>
    <mergeCell ref="J2:K2"/>
    <mergeCell ref="A4:A22"/>
    <mergeCell ref="B22:I22"/>
    <mergeCell ref="A24:A26"/>
    <mergeCell ref="B26:I26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K38"/>
  <sheetViews>
    <sheetView topLeftCell="C10" workbookViewId="0">
      <selection activeCell="F15" sqref="F15"/>
    </sheetView>
  </sheetViews>
  <sheetFormatPr defaultRowHeight="17"/>
  <cols>
    <col min="1" max="1" width="6.33203125" bestFit="1" customWidth="1"/>
    <col min="2" max="2" width="3.75" bestFit="1" customWidth="1"/>
    <col min="3" max="3" width="10.83203125" bestFit="1" customWidth="1"/>
    <col min="4" max="4" width="9.58203125" bestFit="1" customWidth="1"/>
    <col min="5" max="5" width="6.33203125" bestFit="1" customWidth="1"/>
    <col min="6" max="6" width="81.08203125" bestFit="1" customWidth="1"/>
    <col min="7" max="7" width="21.33203125" bestFit="1" customWidth="1"/>
    <col min="8" max="8" width="21.75" bestFit="1" customWidth="1"/>
    <col min="9" max="9" width="7.5" bestFit="1" customWidth="1"/>
    <col min="10" max="10" width="10.5" customWidth="1"/>
    <col min="11" max="11" width="27.83203125" bestFit="1" customWidth="1"/>
  </cols>
  <sheetData>
    <row r="1" spans="1:11" ht="26">
      <c r="A1" s="68" t="s">
        <v>62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17.5" thickBot="1">
      <c r="A2" s="14"/>
      <c r="B2" s="14"/>
      <c r="C2" s="15"/>
      <c r="D2" s="16"/>
      <c r="E2" s="14"/>
      <c r="F2" s="16"/>
      <c r="G2" s="16"/>
      <c r="H2" s="16"/>
      <c r="I2" s="16"/>
      <c r="J2" s="69" t="s">
        <v>19</v>
      </c>
      <c r="K2" s="70"/>
    </row>
    <row r="3" spans="1:11">
      <c r="A3" s="17" t="s">
        <v>20</v>
      </c>
      <c r="B3" s="18" t="s">
        <v>21</v>
      </c>
      <c r="C3" s="19" t="s">
        <v>22</v>
      </c>
      <c r="D3" s="18" t="s">
        <v>23</v>
      </c>
      <c r="E3" s="18" t="s">
        <v>24</v>
      </c>
      <c r="F3" s="18" t="s">
        <v>34</v>
      </c>
      <c r="G3" s="18" t="s">
        <v>35</v>
      </c>
      <c r="H3" s="18" t="s">
        <v>25</v>
      </c>
      <c r="I3" s="18" t="s">
        <v>26</v>
      </c>
      <c r="J3" s="18" t="s">
        <v>27</v>
      </c>
      <c r="K3" s="20" t="s">
        <v>28</v>
      </c>
    </row>
    <row r="4" spans="1:11">
      <c r="A4" s="71" t="s">
        <v>29</v>
      </c>
      <c r="B4" s="21">
        <v>1</v>
      </c>
      <c r="C4" s="44">
        <v>45750</v>
      </c>
      <c r="D4" s="45" t="s">
        <v>147</v>
      </c>
      <c r="E4" s="45" t="s">
        <v>37</v>
      </c>
      <c r="F4" s="46" t="s">
        <v>148</v>
      </c>
      <c r="G4" s="43"/>
      <c r="H4" s="42" t="s">
        <v>149</v>
      </c>
      <c r="I4" s="45"/>
      <c r="J4" s="47">
        <v>120000</v>
      </c>
      <c r="K4" s="41"/>
    </row>
    <row r="5" spans="1:11">
      <c r="A5" s="72"/>
      <c r="B5" s="21">
        <v>2</v>
      </c>
      <c r="C5" s="44">
        <v>45754</v>
      </c>
      <c r="D5" s="43" t="s">
        <v>150</v>
      </c>
      <c r="E5" s="45" t="s">
        <v>37</v>
      </c>
      <c r="F5" s="45" t="s">
        <v>151</v>
      </c>
      <c r="G5" s="43" t="s">
        <v>152</v>
      </c>
      <c r="H5" s="42" t="s">
        <v>153</v>
      </c>
      <c r="I5" s="42" t="s">
        <v>154</v>
      </c>
      <c r="J5" s="47">
        <v>100000</v>
      </c>
      <c r="K5" s="41"/>
    </row>
    <row r="6" spans="1:11">
      <c r="A6" s="72"/>
      <c r="B6" s="21">
        <v>3</v>
      </c>
      <c r="C6" s="44">
        <v>45754</v>
      </c>
      <c r="D6" s="43" t="s">
        <v>150</v>
      </c>
      <c r="E6" s="45" t="s">
        <v>37</v>
      </c>
      <c r="F6" s="45" t="s">
        <v>151</v>
      </c>
      <c r="G6" s="43" t="s">
        <v>152</v>
      </c>
      <c r="H6" s="42" t="s">
        <v>153</v>
      </c>
      <c r="I6" s="42" t="s">
        <v>155</v>
      </c>
      <c r="J6" s="47">
        <v>100000</v>
      </c>
      <c r="K6" s="41"/>
    </row>
    <row r="7" spans="1:11">
      <c r="A7" s="72"/>
      <c r="B7" s="21">
        <v>4</v>
      </c>
      <c r="C7" s="44">
        <v>45756</v>
      </c>
      <c r="D7" s="43" t="s">
        <v>161</v>
      </c>
      <c r="E7" s="45" t="s">
        <v>162</v>
      </c>
      <c r="F7" s="45" t="s">
        <v>163</v>
      </c>
      <c r="G7" s="43" t="s">
        <v>164</v>
      </c>
      <c r="H7" s="42"/>
      <c r="I7" s="42" t="s">
        <v>165</v>
      </c>
      <c r="J7" s="47">
        <v>100000</v>
      </c>
      <c r="K7" s="41"/>
    </row>
    <row r="8" spans="1:11">
      <c r="A8" s="72"/>
      <c r="B8" s="21">
        <v>5</v>
      </c>
      <c r="C8" s="44">
        <v>45760</v>
      </c>
      <c r="D8" s="43" t="s">
        <v>166</v>
      </c>
      <c r="E8" s="45" t="s">
        <v>37</v>
      </c>
      <c r="F8" s="45" t="s">
        <v>167</v>
      </c>
      <c r="G8" s="43" t="s">
        <v>168</v>
      </c>
      <c r="H8" s="42" t="s">
        <v>169</v>
      </c>
      <c r="I8" s="42" t="s">
        <v>170</v>
      </c>
      <c r="J8" s="47">
        <v>100000</v>
      </c>
      <c r="K8" s="41"/>
    </row>
    <row r="9" spans="1:11">
      <c r="A9" s="72"/>
      <c r="B9" s="21">
        <v>6</v>
      </c>
      <c r="C9" s="44">
        <v>45775</v>
      </c>
      <c r="D9" s="43" t="s">
        <v>171</v>
      </c>
      <c r="E9" s="45" t="s">
        <v>172</v>
      </c>
      <c r="F9" s="45" t="s">
        <v>173</v>
      </c>
      <c r="G9" s="43" t="s">
        <v>174</v>
      </c>
      <c r="H9" s="42"/>
      <c r="I9" s="42" t="s">
        <v>175</v>
      </c>
      <c r="J9" s="47">
        <v>100000</v>
      </c>
      <c r="K9" s="41"/>
    </row>
    <row r="10" spans="1:11">
      <c r="A10" s="72"/>
      <c r="B10" s="21">
        <v>7</v>
      </c>
      <c r="C10" s="44">
        <v>45775</v>
      </c>
      <c r="D10" s="43" t="s">
        <v>182</v>
      </c>
      <c r="E10" s="45" t="s">
        <v>183</v>
      </c>
      <c r="F10" s="45" t="s">
        <v>180</v>
      </c>
      <c r="G10" s="43" t="s">
        <v>176</v>
      </c>
      <c r="H10" s="42"/>
      <c r="I10" s="42" t="s">
        <v>178</v>
      </c>
      <c r="J10" s="47">
        <v>100000</v>
      </c>
      <c r="K10" s="41"/>
    </row>
    <row r="11" spans="1:11">
      <c r="A11" s="72"/>
      <c r="B11" s="21">
        <v>8</v>
      </c>
      <c r="C11" s="44">
        <v>45775</v>
      </c>
      <c r="D11" s="43" t="s">
        <v>182</v>
      </c>
      <c r="E11" s="45" t="s">
        <v>184</v>
      </c>
      <c r="F11" s="45" t="s">
        <v>181</v>
      </c>
      <c r="G11" s="43" t="s">
        <v>177</v>
      </c>
      <c r="H11" s="42"/>
      <c r="I11" s="42" t="s">
        <v>179</v>
      </c>
      <c r="J11" s="47">
        <v>100000</v>
      </c>
      <c r="K11" s="41"/>
    </row>
    <row r="12" spans="1:11">
      <c r="A12" s="72"/>
      <c r="B12" s="21">
        <v>9</v>
      </c>
      <c r="C12" s="44"/>
      <c r="D12" s="43"/>
      <c r="E12" s="45"/>
      <c r="F12" s="45"/>
      <c r="G12" s="43"/>
      <c r="H12" s="42"/>
      <c r="I12" s="42"/>
      <c r="J12" s="47"/>
      <c r="K12" s="41"/>
    </row>
    <row r="13" spans="1:11">
      <c r="A13" s="72"/>
      <c r="B13" s="21">
        <v>10</v>
      </c>
      <c r="C13" s="44"/>
      <c r="D13" s="43"/>
      <c r="E13" s="45"/>
      <c r="F13" s="45"/>
      <c r="G13" s="43"/>
      <c r="H13" s="42"/>
      <c r="I13" s="42"/>
      <c r="J13" s="47"/>
      <c r="K13" s="41"/>
    </row>
    <row r="14" spans="1:11">
      <c r="A14" s="72"/>
      <c r="B14" s="21">
        <v>11</v>
      </c>
      <c r="C14" s="44"/>
      <c r="D14" s="43"/>
      <c r="E14" s="45"/>
      <c r="F14" s="45"/>
      <c r="G14" s="43"/>
      <c r="H14" s="42"/>
      <c r="I14" s="42"/>
      <c r="J14" s="47"/>
      <c r="K14" s="41"/>
    </row>
    <row r="15" spans="1:11">
      <c r="A15" s="72"/>
      <c r="B15" s="21">
        <v>12</v>
      </c>
      <c r="C15" s="44"/>
      <c r="D15" s="43"/>
      <c r="E15" s="45"/>
      <c r="F15" s="45"/>
      <c r="G15" s="43"/>
      <c r="H15" s="42"/>
      <c r="I15" s="42"/>
      <c r="J15" s="47"/>
      <c r="K15" s="41"/>
    </row>
    <row r="16" spans="1:11">
      <c r="A16" s="72"/>
      <c r="B16" s="21">
        <v>13</v>
      </c>
      <c r="C16" s="44"/>
      <c r="D16" s="43"/>
      <c r="E16" s="45"/>
      <c r="F16" s="45"/>
      <c r="G16" s="43"/>
      <c r="H16" s="42"/>
      <c r="I16" s="42"/>
      <c r="J16" s="47"/>
      <c r="K16" s="41"/>
    </row>
    <row r="17" spans="1:11">
      <c r="A17" s="72"/>
      <c r="B17" s="21">
        <v>14</v>
      </c>
      <c r="C17" s="44"/>
      <c r="D17" s="43"/>
      <c r="E17" s="45"/>
      <c r="F17" s="45"/>
      <c r="G17" s="43"/>
      <c r="H17" s="42"/>
      <c r="I17" s="42"/>
      <c r="J17" s="47"/>
      <c r="K17" s="41"/>
    </row>
    <row r="18" spans="1:11">
      <c r="A18" s="72"/>
      <c r="B18" s="21">
        <v>15</v>
      </c>
      <c r="C18" s="44"/>
      <c r="D18" s="43"/>
      <c r="E18" s="45"/>
      <c r="F18" s="45"/>
      <c r="G18" s="43"/>
      <c r="H18" s="42"/>
      <c r="I18" s="42"/>
      <c r="J18" s="47"/>
      <c r="K18" s="41"/>
    </row>
    <row r="19" spans="1:11">
      <c r="A19" s="72"/>
      <c r="B19" s="21">
        <v>16</v>
      </c>
      <c r="C19" s="44"/>
      <c r="D19" s="43"/>
      <c r="E19" s="45"/>
      <c r="F19" s="45"/>
      <c r="G19" s="43"/>
      <c r="H19" s="42"/>
      <c r="I19" s="42"/>
      <c r="J19" s="47"/>
      <c r="K19" s="41"/>
    </row>
    <row r="20" spans="1:11">
      <c r="A20" s="72"/>
      <c r="B20" s="21">
        <v>17</v>
      </c>
      <c r="C20" s="44"/>
      <c r="D20" s="43"/>
      <c r="E20" s="45"/>
      <c r="F20" s="45"/>
      <c r="G20" s="43"/>
      <c r="H20" s="42"/>
      <c r="I20" s="42"/>
      <c r="J20" s="47"/>
      <c r="K20" s="41"/>
    </row>
    <row r="21" spans="1:11">
      <c r="A21" s="72"/>
      <c r="B21" s="21">
        <v>18</v>
      </c>
      <c r="C21" s="44"/>
      <c r="D21" s="43"/>
      <c r="E21" s="45"/>
      <c r="F21" s="45"/>
      <c r="G21" s="43"/>
      <c r="H21" s="42"/>
      <c r="I21" s="42"/>
      <c r="J21" s="47"/>
      <c r="K21" s="41"/>
    </row>
    <row r="22" spans="1:11">
      <c r="A22" s="72"/>
      <c r="B22" s="21">
        <v>19</v>
      </c>
      <c r="C22" s="44"/>
      <c r="D22" s="43"/>
      <c r="E22" s="45"/>
      <c r="F22" s="45"/>
      <c r="G22" s="43"/>
      <c r="H22" s="42"/>
      <c r="I22" s="42"/>
      <c r="J22" s="47"/>
      <c r="K22" s="41"/>
    </row>
    <row r="23" spans="1:11">
      <c r="A23" s="72"/>
      <c r="B23" s="21">
        <v>20</v>
      </c>
      <c r="C23" s="44"/>
      <c r="D23" s="43"/>
      <c r="E23" s="45"/>
      <c r="F23" s="45"/>
      <c r="G23" s="43"/>
      <c r="H23" s="42"/>
      <c r="I23" s="42"/>
      <c r="J23" s="47"/>
      <c r="K23" s="41"/>
    </row>
    <row r="24" spans="1:11">
      <c r="A24" s="72"/>
      <c r="B24" s="21">
        <v>21</v>
      </c>
      <c r="C24" s="44"/>
      <c r="D24" s="43"/>
      <c r="E24" s="45"/>
      <c r="F24" s="45"/>
      <c r="G24" s="43"/>
      <c r="H24" s="42"/>
      <c r="I24" s="42"/>
      <c r="J24" s="47"/>
      <c r="K24" s="41"/>
    </row>
    <row r="25" spans="1:11">
      <c r="A25" s="72"/>
      <c r="B25" s="21">
        <v>22</v>
      </c>
      <c r="C25" s="44"/>
      <c r="D25" s="43"/>
      <c r="E25" s="45"/>
      <c r="F25" s="45"/>
      <c r="G25" s="43"/>
      <c r="H25" s="42"/>
      <c r="I25" s="42"/>
      <c r="J25" s="47"/>
      <c r="K25" s="41"/>
    </row>
    <row r="26" spans="1:11">
      <c r="A26" s="72"/>
      <c r="B26" s="21">
        <v>23</v>
      </c>
      <c r="C26" s="44"/>
      <c r="D26" s="43"/>
      <c r="E26" s="45"/>
      <c r="F26" s="45"/>
      <c r="G26" s="43"/>
      <c r="H26" s="42"/>
      <c r="I26" s="42"/>
      <c r="J26" s="47"/>
      <c r="K26" s="41"/>
    </row>
    <row r="27" spans="1:11">
      <c r="A27" s="72"/>
      <c r="B27" s="21"/>
      <c r="C27" s="44"/>
      <c r="D27" s="43"/>
      <c r="E27" s="45"/>
      <c r="F27" s="45"/>
      <c r="G27" s="43"/>
      <c r="H27" s="42"/>
      <c r="I27" s="42"/>
      <c r="J27" s="47"/>
      <c r="K27" s="41"/>
    </row>
    <row r="28" spans="1:11">
      <c r="A28" s="72"/>
      <c r="B28" s="21"/>
      <c r="C28" s="44"/>
      <c r="D28" s="43"/>
      <c r="E28" s="45"/>
      <c r="F28" s="43"/>
      <c r="G28" s="43"/>
      <c r="H28" s="42"/>
      <c r="I28" s="43"/>
      <c r="J28" s="47"/>
      <c r="K28" s="41"/>
    </row>
    <row r="29" spans="1:11" ht="17.5" thickBot="1">
      <c r="A29" s="73"/>
      <c r="B29" s="74" t="s">
        <v>30</v>
      </c>
      <c r="C29" s="75"/>
      <c r="D29" s="75"/>
      <c r="E29" s="75"/>
      <c r="F29" s="75"/>
      <c r="G29" s="75"/>
      <c r="H29" s="75"/>
      <c r="I29" s="75"/>
      <c r="J29" s="30">
        <f>SUM(J4:J28)</f>
        <v>820000</v>
      </c>
      <c r="K29" s="27"/>
    </row>
    <row r="30" spans="1:11">
      <c r="A30" s="17" t="s">
        <v>20</v>
      </c>
      <c r="B30" s="18" t="s">
        <v>21</v>
      </c>
      <c r="C30" s="19" t="s">
        <v>22</v>
      </c>
      <c r="D30" s="18" t="s">
        <v>23</v>
      </c>
      <c r="E30" s="18" t="s">
        <v>24</v>
      </c>
      <c r="F30" s="18" t="s">
        <v>34</v>
      </c>
      <c r="G30" s="18" t="s">
        <v>36</v>
      </c>
      <c r="H30" s="18" t="s">
        <v>25</v>
      </c>
      <c r="I30" s="18" t="s">
        <v>26</v>
      </c>
      <c r="J30" s="18" t="s">
        <v>27</v>
      </c>
      <c r="K30" s="20" t="s">
        <v>28</v>
      </c>
    </row>
    <row r="31" spans="1:11">
      <c r="A31" s="61" t="s">
        <v>31</v>
      </c>
      <c r="B31" s="22"/>
      <c r="C31" s="32">
        <v>45759</v>
      </c>
      <c r="D31" s="43" t="s">
        <v>156</v>
      </c>
      <c r="E31" s="43" t="s">
        <v>43</v>
      </c>
      <c r="F31" s="43" t="s">
        <v>157</v>
      </c>
      <c r="G31" s="43" t="s">
        <v>158</v>
      </c>
      <c r="H31" s="42" t="s">
        <v>159</v>
      </c>
      <c r="I31" s="42" t="s">
        <v>160</v>
      </c>
      <c r="J31" s="34">
        <v>100000</v>
      </c>
      <c r="K31" s="27"/>
    </row>
    <row r="32" spans="1:11">
      <c r="A32" s="62"/>
      <c r="B32" s="22"/>
      <c r="C32" s="32"/>
      <c r="D32" s="31"/>
      <c r="E32" s="31"/>
      <c r="F32" s="31"/>
      <c r="G32" s="31"/>
      <c r="H32" s="23"/>
      <c r="I32" s="33"/>
      <c r="J32" s="34"/>
      <c r="K32" s="27"/>
    </row>
    <row r="33" spans="1:11" ht="17.5" thickBot="1">
      <c r="A33" s="63"/>
      <c r="B33" s="64" t="s">
        <v>30</v>
      </c>
      <c r="C33" s="64"/>
      <c r="D33" s="64"/>
      <c r="E33" s="64"/>
      <c r="F33" s="64"/>
      <c r="G33" s="64"/>
      <c r="H33" s="64"/>
      <c r="I33" s="64"/>
      <c r="J33" s="28">
        <f>SUM(J31:J32)</f>
        <v>100000</v>
      </c>
      <c r="K33" s="27"/>
    </row>
    <row r="34" spans="1:11">
      <c r="A34" s="17" t="s">
        <v>20</v>
      </c>
      <c r="B34" s="18" t="s">
        <v>21</v>
      </c>
      <c r="C34" s="19" t="s">
        <v>22</v>
      </c>
      <c r="D34" s="18" t="s">
        <v>23</v>
      </c>
      <c r="E34" s="18" t="s">
        <v>24</v>
      </c>
      <c r="F34" s="18" t="s">
        <v>34</v>
      </c>
      <c r="G34" s="18"/>
      <c r="H34" s="18" t="s">
        <v>25</v>
      </c>
      <c r="I34" s="18" t="s">
        <v>26</v>
      </c>
      <c r="J34" s="18" t="s">
        <v>27</v>
      </c>
      <c r="K34" s="20" t="s">
        <v>28</v>
      </c>
    </row>
    <row r="35" spans="1:11">
      <c r="A35" s="61" t="s">
        <v>32</v>
      </c>
      <c r="B35" s="24"/>
      <c r="C35" s="26"/>
      <c r="D35" s="24"/>
      <c r="E35" s="24"/>
      <c r="F35" s="29"/>
      <c r="G35" s="29"/>
      <c r="H35" s="23"/>
      <c r="I35" s="24"/>
      <c r="J35" s="25"/>
      <c r="K35" s="27"/>
    </row>
    <row r="36" spans="1:11">
      <c r="A36" s="62"/>
      <c r="B36" s="24"/>
      <c r="C36" s="26"/>
      <c r="D36" s="24"/>
      <c r="E36" s="24"/>
      <c r="F36" s="29"/>
      <c r="G36" s="29"/>
      <c r="H36" s="23"/>
      <c r="I36" s="24"/>
      <c r="J36" s="25"/>
      <c r="K36" s="27"/>
    </row>
    <row r="37" spans="1:11">
      <c r="A37" s="63"/>
      <c r="B37" s="64" t="s">
        <v>30</v>
      </c>
      <c r="C37" s="64"/>
      <c r="D37" s="64"/>
      <c r="E37" s="64"/>
      <c r="F37" s="64"/>
      <c r="G37" s="64"/>
      <c r="H37" s="64"/>
      <c r="I37" s="64"/>
      <c r="J37" s="28">
        <f>SUM(J35:J36)</f>
        <v>0</v>
      </c>
      <c r="K37" s="27"/>
    </row>
    <row r="38" spans="1:11" ht="17.5" thickBot="1">
      <c r="A38" s="65" t="s">
        <v>33</v>
      </c>
      <c r="B38" s="66"/>
      <c r="C38" s="66"/>
      <c r="D38" s="66"/>
      <c r="E38" s="66"/>
      <c r="F38" s="66"/>
      <c r="G38" s="66"/>
      <c r="H38" s="66"/>
      <c r="I38" s="67"/>
      <c r="J38" s="39">
        <f>SUM(J29,J33,J37)</f>
        <v>920000</v>
      </c>
      <c r="K38" s="40"/>
    </row>
  </sheetData>
  <mergeCells count="9">
    <mergeCell ref="A35:A37"/>
    <mergeCell ref="B37:I37"/>
    <mergeCell ref="A38:I38"/>
    <mergeCell ref="A1:K1"/>
    <mergeCell ref="J2:K2"/>
    <mergeCell ref="A4:A29"/>
    <mergeCell ref="B29:I29"/>
    <mergeCell ref="A31:A33"/>
    <mergeCell ref="B33:I33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K34"/>
  <sheetViews>
    <sheetView workbookViewId="0">
      <selection activeCell="K13" sqref="K13"/>
    </sheetView>
  </sheetViews>
  <sheetFormatPr defaultRowHeight="17"/>
  <cols>
    <col min="1" max="1" width="6.33203125" bestFit="1" customWidth="1"/>
    <col min="2" max="2" width="3.75" bestFit="1" customWidth="1"/>
    <col min="3" max="3" width="10.83203125" bestFit="1" customWidth="1"/>
    <col min="4" max="4" width="9.58203125" bestFit="1" customWidth="1"/>
    <col min="5" max="5" width="6.33203125" bestFit="1" customWidth="1"/>
    <col min="6" max="6" width="81.08203125" bestFit="1" customWidth="1"/>
    <col min="7" max="7" width="21.33203125" bestFit="1" customWidth="1"/>
    <col min="8" max="8" width="21.75" bestFit="1" customWidth="1"/>
    <col min="9" max="9" width="7.5" bestFit="1" customWidth="1"/>
    <col min="10" max="10" width="10.5" customWidth="1"/>
    <col min="11" max="11" width="27.83203125" bestFit="1" customWidth="1"/>
  </cols>
  <sheetData>
    <row r="1" spans="1:11" ht="26">
      <c r="A1" s="68" t="s">
        <v>63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17.5" thickBot="1">
      <c r="A2" s="14"/>
      <c r="B2" s="14"/>
      <c r="C2" s="15"/>
      <c r="D2" s="16"/>
      <c r="E2" s="14"/>
      <c r="F2" s="16"/>
      <c r="G2" s="16"/>
      <c r="H2" s="16"/>
      <c r="I2" s="16"/>
      <c r="J2" s="69" t="s">
        <v>19</v>
      </c>
      <c r="K2" s="70"/>
    </row>
    <row r="3" spans="1:11">
      <c r="A3" s="17" t="s">
        <v>20</v>
      </c>
      <c r="B3" s="18" t="s">
        <v>21</v>
      </c>
      <c r="C3" s="19" t="s">
        <v>22</v>
      </c>
      <c r="D3" s="18" t="s">
        <v>23</v>
      </c>
      <c r="E3" s="18" t="s">
        <v>24</v>
      </c>
      <c r="F3" s="18" t="s">
        <v>34</v>
      </c>
      <c r="G3" s="18" t="s">
        <v>35</v>
      </c>
      <c r="H3" s="18" t="s">
        <v>25</v>
      </c>
      <c r="I3" s="18" t="s">
        <v>26</v>
      </c>
      <c r="J3" s="18" t="s">
        <v>27</v>
      </c>
      <c r="K3" s="20" t="s">
        <v>28</v>
      </c>
    </row>
    <row r="4" spans="1:11">
      <c r="A4" s="71" t="s">
        <v>29</v>
      </c>
      <c r="B4" s="21">
        <v>1</v>
      </c>
      <c r="C4" s="44">
        <v>45791</v>
      </c>
      <c r="D4" s="45" t="s">
        <v>185</v>
      </c>
      <c r="E4" s="48" t="s">
        <v>44</v>
      </c>
      <c r="F4" s="46" t="s">
        <v>186</v>
      </c>
      <c r="G4" s="50" t="s">
        <v>187</v>
      </c>
      <c r="H4" s="50" t="s">
        <v>188</v>
      </c>
      <c r="I4" s="45" t="s">
        <v>189</v>
      </c>
      <c r="J4" s="47">
        <v>90000</v>
      </c>
      <c r="K4" s="41"/>
    </row>
    <row r="5" spans="1:11">
      <c r="A5" s="72"/>
      <c r="B5" s="21">
        <v>2</v>
      </c>
      <c r="C5" s="44">
        <v>45798</v>
      </c>
      <c r="D5" s="45" t="s">
        <v>194</v>
      </c>
      <c r="E5" s="45" t="s">
        <v>195</v>
      </c>
      <c r="F5" s="45" t="s">
        <v>196</v>
      </c>
      <c r="G5" s="43"/>
      <c r="H5" s="42" t="s">
        <v>197</v>
      </c>
      <c r="I5" s="42" t="s">
        <v>198</v>
      </c>
      <c r="J5" s="47">
        <v>90000</v>
      </c>
      <c r="K5" s="41"/>
    </row>
    <row r="6" spans="1:11">
      <c r="A6" s="72"/>
      <c r="B6" s="21">
        <v>3</v>
      </c>
      <c r="C6" s="44">
        <v>45803</v>
      </c>
      <c r="D6" s="43" t="s">
        <v>199</v>
      </c>
      <c r="E6" s="45" t="s">
        <v>37</v>
      </c>
      <c r="F6" s="45" t="s">
        <v>200</v>
      </c>
      <c r="G6" s="43" t="s">
        <v>201</v>
      </c>
      <c r="H6" s="42" t="s">
        <v>202</v>
      </c>
      <c r="I6" s="42"/>
      <c r="J6" s="47">
        <v>100000</v>
      </c>
      <c r="K6" s="41"/>
    </row>
    <row r="7" spans="1:11">
      <c r="A7" s="72"/>
      <c r="B7" s="21">
        <v>4</v>
      </c>
      <c r="C7" s="44">
        <v>45804</v>
      </c>
      <c r="D7" s="45" t="s">
        <v>203</v>
      </c>
      <c r="E7" s="45" t="s">
        <v>50</v>
      </c>
      <c r="F7" s="45" t="s">
        <v>204</v>
      </c>
      <c r="G7" s="43"/>
      <c r="H7" s="42" t="s">
        <v>205</v>
      </c>
      <c r="I7" s="42" t="s">
        <v>206</v>
      </c>
      <c r="J7" s="47">
        <v>90000</v>
      </c>
      <c r="K7" s="41"/>
    </row>
    <row r="8" spans="1:11">
      <c r="A8" s="72"/>
      <c r="B8" s="21">
        <v>5</v>
      </c>
      <c r="C8" s="44">
        <v>45805</v>
      </c>
      <c r="D8" s="45" t="s">
        <v>207</v>
      </c>
      <c r="E8" s="45" t="s">
        <v>50</v>
      </c>
      <c r="F8" s="45" t="s">
        <v>208</v>
      </c>
      <c r="G8" s="50" t="s">
        <v>209</v>
      </c>
      <c r="H8" s="50"/>
      <c r="I8" s="42" t="s">
        <v>210</v>
      </c>
      <c r="J8" s="47">
        <v>90000</v>
      </c>
      <c r="K8" s="41"/>
    </row>
    <row r="9" spans="1:11">
      <c r="A9" s="72"/>
      <c r="B9" s="21">
        <v>6</v>
      </c>
      <c r="C9" s="44"/>
      <c r="D9" s="45"/>
      <c r="E9" s="45"/>
      <c r="F9" s="45"/>
      <c r="G9" s="43"/>
      <c r="H9" s="42"/>
      <c r="I9" s="42"/>
      <c r="J9" s="47"/>
      <c r="K9" s="41"/>
    </row>
    <row r="10" spans="1:11">
      <c r="A10" s="72"/>
      <c r="B10" s="21">
        <v>7</v>
      </c>
      <c r="C10" s="44"/>
      <c r="D10" s="43"/>
      <c r="E10" s="45"/>
      <c r="F10" s="45"/>
      <c r="G10" s="42"/>
      <c r="H10" s="42"/>
      <c r="I10" s="42"/>
      <c r="J10" s="47"/>
      <c r="K10" s="41"/>
    </row>
    <row r="11" spans="1:11">
      <c r="A11" s="72"/>
      <c r="B11" s="21">
        <v>8</v>
      </c>
      <c r="C11" s="44"/>
      <c r="D11" s="43"/>
      <c r="E11" s="45"/>
      <c r="F11" s="45"/>
      <c r="G11" s="42"/>
      <c r="H11" s="42"/>
      <c r="I11" s="42"/>
      <c r="J11" s="47"/>
      <c r="K11" s="41"/>
    </row>
    <row r="12" spans="1:11">
      <c r="A12" s="72"/>
      <c r="B12" s="21">
        <v>9</v>
      </c>
      <c r="C12" s="44"/>
      <c r="D12" s="43"/>
      <c r="E12" s="45"/>
      <c r="F12" s="45"/>
      <c r="G12" s="42"/>
      <c r="H12" s="42"/>
      <c r="I12" s="42"/>
      <c r="J12" s="47"/>
      <c r="K12" s="41"/>
    </row>
    <row r="13" spans="1:11">
      <c r="A13" s="72"/>
      <c r="B13" s="21">
        <v>10</v>
      </c>
      <c r="C13" s="44"/>
      <c r="D13" s="43"/>
      <c r="E13" s="45"/>
      <c r="F13" s="45"/>
      <c r="G13" s="42"/>
      <c r="H13" s="42"/>
      <c r="I13" s="42"/>
      <c r="J13" s="47"/>
      <c r="K13" s="41"/>
    </row>
    <row r="14" spans="1:11">
      <c r="A14" s="72"/>
      <c r="B14" s="21">
        <v>11</v>
      </c>
      <c r="C14" s="44"/>
      <c r="D14" s="43"/>
      <c r="E14" s="45"/>
      <c r="F14" s="45"/>
      <c r="G14" s="42"/>
      <c r="H14" s="42"/>
      <c r="I14" s="42"/>
      <c r="J14" s="47"/>
      <c r="K14" s="41"/>
    </row>
    <row r="15" spans="1:11">
      <c r="A15" s="72"/>
      <c r="B15" s="21">
        <v>12</v>
      </c>
      <c r="C15" s="44"/>
      <c r="D15" s="43"/>
      <c r="E15" s="45"/>
      <c r="F15" s="45"/>
      <c r="G15" s="42"/>
      <c r="H15" s="42"/>
      <c r="I15" s="42"/>
      <c r="J15" s="47"/>
      <c r="K15" s="41"/>
    </row>
    <row r="16" spans="1:11">
      <c r="A16" s="72"/>
      <c r="B16" s="21">
        <v>13</v>
      </c>
      <c r="C16" s="44"/>
      <c r="D16" s="43"/>
      <c r="E16" s="45"/>
      <c r="F16" s="45"/>
      <c r="G16" s="42"/>
      <c r="H16" s="42"/>
      <c r="I16" s="42"/>
      <c r="J16" s="47"/>
      <c r="K16" s="41"/>
    </row>
    <row r="17" spans="1:11">
      <c r="A17" s="72"/>
      <c r="B17" s="21">
        <v>14</v>
      </c>
      <c r="C17" s="44"/>
      <c r="D17" s="43"/>
      <c r="E17" s="45"/>
      <c r="F17" s="45"/>
      <c r="G17" s="42"/>
      <c r="H17" s="42"/>
      <c r="I17" s="42"/>
      <c r="J17" s="47"/>
      <c r="K17" s="41"/>
    </row>
    <row r="18" spans="1:11">
      <c r="A18" s="72"/>
      <c r="B18" s="21">
        <v>15</v>
      </c>
      <c r="C18" s="44"/>
      <c r="D18" s="43"/>
      <c r="E18" s="45"/>
      <c r="F18" s="45"/>
      <c r="G18" s="42"/>
      <c r="H18" s="42"/>
      <c r="I18" s="42"/>
      <c r="J18" s="47"/>
      <c r="K18" s="41"/>
    </row>
    <row r="19" spans="1:11">
      <c r="A19" s="72"/>
      <c r="B19" s="21">
        <v>16</v>
      </c>
      <c r="C19" s="44"/>
      <c r="D19" s="43"/>
      <c r="E19" s="45"/>
      <c r="F19" s="45"/>
      <c r="G19" s="42"/>
      <c r="H19" s="42"/>
      <c r="I19" s="42"/>
      <c r="J19" s="47"/>
      <c r="K19" s="41"/>
    </row>
    <row r="20" spans="1:11">
      <c r="A20" s="72"/>
      <c r="B20" s="21">
        <v>17</v>
      </c>
      <c r="C20" s="44"/>
      <c r="D20" s="43"/>
      <c r="E20" s="45"/>
      <c r="F20" s="45"/>
      <c r="G20" s="42"/>
      <c r="H20" s="42"/>
      <c r="I20" s="42"/>
      <c r="J20" s="47"/>
      <c r="K20" s="41"/>
    </row>
    <row r="21" spans="1:11">
      <c r="A21" s="72"/>
      <c r="B21" s="21">
        <v>18</v>
      </c>
      <c r="C21" s="44"/>
      <c r="D21" s="43"/>
      <c r="E21" s="45"/>
      <c r="F21" s="43"/>
      <c r="G21" s="42"/>
      <c r="H21" s="42"/>
      <c r="I21" s="43"/>
      <c r="J21" s="47"/>
      <c r="K21" s="41"/>
    </row>
    <row r="22" spans="1:11" ht="17.5" thickBot="1">
      <c r="A22" s="73"/>
      <c r="B22" s="74" t="s">
        <v>30</v>
      </c>
      <c r="C22" s="75"/>
      <c r="D22" s="75"/>
      <c r="E22" s="75"/>
      <c r="F22" s="75"/>
      <c r="G22" s="75"/>
      <c r="H22" s="75"/>
      <c r="I22" s="75"/>
      <c r="J22" s="30">
        <f>SUM(J4:J21)</f>
        <v>460000</v>
      </c>
      <c r="K22" s="27"/>
    </row>
    <row r="23" spans="1:11">
      <c r="A23" s="17" t="s">
        <v>20</v>
      </c>
      <c r="B23" s="18" t="s">
        <v>21</v>
      </c>
      <c r="C23" s="19" t="s">
        <v>22</v>
      </c>
      <c r="D23" s="18" t="s">
        <v>23</v>
      </c>
      <c r="E23" s="18" t="s">
        <v>24</v>
      </c>
      <c r="F23" s="18" t="s">
        <v>34</v>
      </c>
      <c r="G23" s="18" t="s">
        <v>36</v>
      </c>
      <c r="H23" s="18" t="s">
        <v>25</v>
      </c>
      <c r="I23" s="18" t="s">
        <v>26</v>
      </c>
      <c r="J23" s="18" t="s">
        <v>27</v>
      </c>
      <c r="K23" s="20" t="s">
        <v>28</v>
      </c>
    </row>
    <row r="24" spans="1:11">
      <c r="A24" s="61" t="s">
        <v>31</v>
      </c>
      <c r="B24" s="22">
        <v>1</v>
      </c>
      <c r="C24" s="32"/>
      <c r="D24" s="43"/>
      <c r="E24" s="43"/>
      <c r="F24" s="43"/>
      <c r="G24" s="43"/>
      <c r="H24" s="42"/>
      <c r="I24" s="42"/>
      <c r="J24" s="34"/>
      <c r="K24" s="27"/>
    </row>
    <row r="25" spans="1:11">
      <c r="A25" s="62"/>
      <c r="B25" s="22">
        <v>2</v>
      </c>
      <c r="C25" s="44"/>
      <c r="D25" s="45"/>
      <c r="E25" s="45"/>
      <c r="F25" s="45"/>
      <c r="G25" s="43"/>
      <c r="H25" s="42"/>
      <c r="I25" s="42"/>
      <c r="J25" s="47"/>
      <c r="K25" s="27"/>
    </row>
    <row r="26" spans="1:11">
      <c r="A26" s="62"/>
      <c r="B26" s="22">
        <v>3</v>
      </c>
      <c r="C26" s="32"/>
      <c r="D26" s="43"/>
      <c r="E26" s="43"/>
      <c r="F26" s="43"/>
      <c r="G26" s="43"/>
      <c r="H26" s="42"/>
      <c r="I26" s="42"/>
      <c r="J26" s="34"/>
      <c r="K26" s="27"/>
    </row>
    <row r="27" spans="1:11">
      <c r="A27" s="62"/>
      <c r="B27" s="22">
        <v>4</v>
      </c>
      <c r="C27" s="32"/>
      <c r="D27" s="43"/>
      <c r="E27" s="43"/>
      <c r="F27" s="43"/>
      <c r="G27" s="43"/>
      <c r="H27" s="42"/>
      <c r="I27" s="42"/>
      <c r="J27" s="34"/>
      <c r="K27" s="27"/>
    </row>
    <row r="28" spans="1:11">
      <c r="A28" s="62"/>
      <c r="B28" s="22">
        <v>5</v>
      </c>
      <c r="C28" s="32"/>
      <c r="D28" s="43"/>
      <c r="E28" s="43"/>
      <c r="F28" s="31"/>
      <c r="G28" s="43"/>
      <c r="H28" s="23"/>
      <c r="I28" s="33"/>
      <c r="J28" s="34"/>
      <c r="K28" s="27"/>
    </row>
    <row r="29" spans="1:11" ht="17.5" thickBot="1">
      <c r="A29" s="63"/>
      <c r="B29" s="64" t="s">
        <v>30</v>
      </c>
      <c r="C29" s="64"/>
      <c r="D29" s="64"/>
      <c r="E29" s="64"/>
      <c r="F29" s="64"/>
      <c r="G29" s="64"/>
      <c r="H29" s="64"/>
      <c r="I29" s="64"/>
      <c r="J29" s="28">
        <f>SUM(J24:J28)</f>
        <v>0</v>
      </c>
      <c r="K29" s="27"/>
    </row>
    <row r="30" spans="1:11">
      <c r="A30" s="17" t="s">
        <v>20</v>
      </c>
      <c r="B30" s="18" t="s">
        <v>21</v>
      </c>
      <c r="C30" s="19" t="s">
        <v>22</v>
      </c>
      <c r="D30" s="18" t="s">
        <v>23</v>
      </c>
      <c r="E30" s="18" t="s">
        <v>24</v>
      </c>
      <c r="F30" s="18" t="s">
        <v>34</v>
      </c>
      <c r="G30" s="18"/>
      <c r="H30" s="18" t="s">
        <v>25</v>
      </c>
      <c r="I30" s="18" t="s">
        <v>26</v>
      </c>
      <c r="J30" s="18" t="s">
        <v>27</v>
      </c>
      <c r="K30" s="20" t="s">
        <v>28</v>
      </c>
    </row>
    <row r="31" spans="1:11">
      <c r="A31" s="61" t="s">
        <v>32</v>
      </c>
      <c r="B31" s="24"/>
      <c r="C31" s="26">
        <v>45791</v>
      </c>
      <c r="D31" s="24" t="s">
        <v>190</v>
      </c>
      <c r="E31" s="24" t="s">
        <v>191</v>
      </c>
      <c r="F31" s="29" t="s">
        <v>192</v>
      </c>
      <c r="G31" s="29"/>
      <c r="H31" s="23" t="s">
        <v>193</v>
      </c>
      <c r="I31" s="24"/>
      <c r="J31" s="25">
        <v>150000</v>
      </c>
      <c r="K31" s="27"/>
    </row>
    <row r="32" spans="1:11">
      <c r="A32" s="62"/>
      <c r="B32" s="24"/>
      <c r="C32" s="26"/>
      <c r="D32" s="24"/>
      <c r="E32" s="24"/>
      <c r="F32" s="29"/>
      <c r="G32" s="29"/>
      <c r="H32" s="23"/>
      <c r="I32" s="24"/>
      <c r="J32" s="25"/>
      <c r="K32" s="27"/>
    </row>
    <row r="33" spans="1:11">
      <c r="A33" s="63"/>
      <c r="B33" s="64" t="s">
        <v>30</v>
      </c>
      <c r="C33" s="64"/>
      <c r="D33" s="64"/>
      <c r="E33" s="64"/>
      <c r="F33" s="64"/>
      <c r="G33" s="64"/>
      <c r="H33" s="64"/>
      <c r="I33" s="64"/>
      <c r="J33" s="28">
        <f>SUM(J31:J32)</f>
        <v>150000</v>
      </c>
      <c r="K33" s="27"/>
    </row>
    <row r="34" spans="1:11" ht="17.5" thickBot="1">
      <c r="A34" s="65" t="s">
        <v>33</v>
      </c>
      <c r="B34" s="66"/>
      <c r="C34" s="66"/>
      <c r="D34" s="66"/>
      <c r="E34" s="66"/>
      <c r="F34" s="66"/>
      <c r="G34" s="66"/>
      <c r="H34" s="66"/>
      <c r="I34" s="67"/>
      <c r="J34" s="39">
        <f>SUM(J22,J29,J33)</f>
        <v>610000</v>
      </c>
      <c r="K34" s="40"/>
    </row>
  </sheetData>
  <mergeCells count="9">
    <mergeCell ref="A31:A33"/>
    <mergeCell ref="B33:I33"/>
    <mergeCell ref="A34:I34"/>
    <mergeCell ref="A1:K1"/>
    <mergeCell ref="J2:K2"/>
    <mergeCell ref="A4:A22"/>
    <mergeCell ref="B22:I22"/>
    <mergeCell ref="A24:A29"/>
    <mergeCell ref="B29:I29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K31"/>
  <sheetViews>
    <sheetView workbookViewId="0">
      <selection activeCell="K35" sqref="K35"/>
    </sheetView>
  </sheetViews>
  <sheetFormatPr defaultRowHeight="17"/>
  <cols>
    <col min="1" max="1" width="6.33203125" bestFit="1" customWidth="1"/>
    <col min="2" max="2" width="3.75" bestFit="1" customWidth="1"/>
    <col min="3" max="3" width="10.83203125" bestFit="1" customWidth="1"/>
    <col min="4" max="4" width="10.5" customWidth="1"/>
    <col min="5" max="5" width="8.33203125" customWidth="1"/>
    <col min="6" max="6" width="79.58203125" customWidth="1"/>
    <col min="7" max="7" width="21.33203125" bestFit="1" customWidth="1"/>
    <col min="8" max="8" width="21.75" bestFit="1" customWidth="1"/>
    <col min="9" max="9" width="7.83203125" customWidth="1"/>
    <col min="10" max="10" width="10.5" customWidth="1"/>
    <col min="11" max="11" width="27.83203125" bestFit="1" customWidth="1"/>
  </cols>
  <sheetData>
    <row r="1" spans="1:11" ht="26">
      <c r="A1" s="68" t="s">
        <v>64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17.5" thickBot="1">
      <c r="A2" s="14"/>
      <c r="B2" s="14"/>
      <c r="C2" s="15"/>
      <c r="D2" s="16"/>
      <c r="E2" s="14"/>
      <c r="F2" s="16"/>
      <c r="G2" s="16"/>
      <c r="H2" s="16"/>
      <c r="I2" s="16"/>
      <c r="J2" s="69" t="s">
        <v>19</v>
      </c>
      <c r="K2" s="70"/>
    </row>
    <row r="3" spans="1:11">
      <c r="A3" s="17" t="s">
        <v>20</v>
      </c>
      <c r="B3" s="18" t="s">
        <v>21</v>
      </c>
      <c r="C3" s="19" t="s">
        <v>22</v>
      </c>
      <c r="D3" s="18" t="s">
        <v>23</v>
      </c>
      <c r="E3" s="18" t="s">
        <v>24</v>
      </c>
      <c r="F3" s="18" t="s">
        <v>34</v>
      </c>
      <c r="G3" s="18" t="s">
        <v>35</v>
      </c>
      <c r="H3" s="18" t="s">
        <v>25</v>
      </c>
      <c r="I3" s="18" t="s">
        <v>26</v>
      </c>
      <c r="J3" s="18" t="s">
        <v>27</v>
      </c>
      <c r="K3" s="20" t="s">
        <v>28</v>
      </c>
    </row>
    <row r="4" spans="1:11">
      <c r="A4" s="71" t="s">
        <v>29</v>
      </c>
      <c r="B4" s="21">
        <v>1</v>
      </c>
      <c r="C4" s="44">
        <v>45813</v>
      </c>
      <c r="D4" s="45" t="s">
        <v>214</v>
      </c>
      <c r="E4" s="49" t="s">
        <v>215</v>
      </c>
      <c r="F4" s="46" t="s">
        <v>216</v>
      </c>
      <c r="G4" s="50" t="s">
        <v>229</v>
      </c>
      <c r="H4" s="50" t="s">
        <v>228</v>
      </c>
      <c r="I4" s="45" t="s">
        <v>227</v>
      </c>
      <c r="J4" s="47">
        <v>90000</v>
      </c>
      <c r="K4" s="41"/>
    </row>
    <row r="5" spans="1:11">
      <c r="A5" s="72"/>
      <c r="B5" s="21">
        <v>2</v>
      </c>
      <c r="C5" s="44">
        <v>45813</v>
      </c>
      <c r="D5" s="45" t="s">
        <v>218</v>
      </c>
      <c r="E5" s="45" t="s">
        <v>219</v>
      </c>
      <c r="F5" s="45" t="s">
        <v>217</v>
      </c>
      <c r="G5" s="43"/>
      <c r="H5" s="42"/>
      <c r="I5" s="42" t="s">
        <v>226</v>
      </c>
      <c r="J5" s="47">
        <v>90000</v>
      </c>
      <c r="K5" s="41"/>
    </row>
    <row r="6" spans="1:11">
      <c r="A6" s="72"/>
      <c r="B6" s="21">
        <v>3</v>
      </c>
      <c r="C6" s="44">
        <v>45818</v>
      </c>
      <c r="D6" s="43" t="s">
        <v>222</v>
      </c>
      <c r="E6" s="45" t="s">
        <v>223</v>
      </c>
      <c r="F6" s="45" t="s">
        <v>220</v>
      </c>
      <c r="G6" s="43" t="s">
        <v>221</v>
      </c>
      <c r="H6" s="42" t="s">
        <v>224</v>
      </c>
      <c r="I6" s="42" t="s">
        <v>225</v>
      </c>
      <c r="J6" s="47">
        <v>90000</v>
      </c>
      <c r="K6" s="41"/>
    </row>
    <row r="7" spans="1:11">
      <c r="A7" s="72"/>
      <c r="B7" s="21">
        <v>4</v>
      </c>
      <c r="C7" s="44">
        <v>45820</v>
      </c>
      <c r="D7" s="45" t="s">
        <v>230</v>
      </c>
      <c r="E7" s="45" t="s">
        <v>231</v>
      </c>
      <c r="F7" s="45" t="s">
        <v>232</v>
      </c>
      <c r="G7" s="43"/>
      <c r="H7" s="42"/>
      <c r="I7" s="42" t="s">
        <v>233</v>
      </c>
      <c r="J7" s="47">
        <v>90000</v>
      </c>
      <c r="K7" s="41"/>
    </row>
    <row r="8" spans="1:11">
      <c r="A8" s="72"/>
      <c r="B8" s="21">
        <v>5</v>
      </c>
      <c r="C8" s="44">
        <v>45822</v>
      </c>
      <c r="D8" s="45" t="s">
        <v>234</v>
      </c>
      <c r="E8" s="45" t="s">
        <v>235</v>
      </c>
      <c r="F8" s="45" t="s">
        <v>236</v>
      </c>
      <c r="G8" s="50" t="s">
        <v>237</v>
      </c>
      <c r="H8" s="50" t="s">
        <v>238</v>
      </c>
      <c r="I8" s="42" t="s">
        <v>239</v>
      </c>
      <c r="J8" s="47">
        <v>90000</v>
      </c>
      <c r="K8" s="41"/>
    </row>
    <row r="9" spans="1:11">
      <c r="A9" s="72"/>
      <c r="B9" s="21">
        <v>6</v>
      </c>
      <c r="C9" s="44">
        <v>45833</v>
      </c>
      <c r="D9" s="45" t="s">
        <v>241</v>
      </c>
      <c r="E9" s="45" t="s">
        <v>37</v>
      </c>
      <c r="F9" s="45" t="s">
        <v>242</v>
      </c>
      <c r="G9" s="45" t="s">
        <v>242</v>
      </c>
      <c r="H9" s="50"/>
      <c r="I9" s="42" t="s">
        <v>246</v>
      </c>
      <c r="J9" s="47">
        <v>90000</v>
      </c>
      <c r="K9" s="41"/>
    </row>
    <row r="10" spans="1:11">
      <c r="A10" s="72"/>
      <c r="B10" s="21">
        <v>7</v>
      </c>
      <c r="C10" s="44">
        <v>45833</v>
      </c>
      <c r="D10" s="45" t="s">
        <v>241</v>
      </c>
      <c r="E10" s="45" t="s">
        <v>37</v>
      </c>
      <c r="F10" s="45" t="s">
        <v>243</v>
      </c>
      <c r="G10" s="45" t="s">
        <v>242</v>
      </c>
      <c r="H10" s="50"/>
      <c r="I10" s="42" t="s">
        <v>247</v>
      </c>
      <c r="J10" s="47">
        <v>90000</v>
      </c>
      <c r="K10" s="41"/>
    </row>
    <row r="11" spans="1:11">
      <c r="A11" s="72"/>
      <c r="B11" s="21">
        <v>8</v>
      </c>
      <c r="C11" s="44">
        <v>45835</v>
      </c>
      <c r="D11" s="45" t="s">
        <v>240</v>
      </c>
      <c r="E11" s="45" t="s">
        <v>37</v>
      </c>
      <c r="F11" s="45" t="s">
        <v>244</v>
      </c>
      <c r="G11" s="50" t="s">
        <v>245</v>
      </c>
      <c r="H11" s="50"/>
      <c r="I11" s="42" t="s">
        <v>248</v>
      </c>
      <c r="J11" s="47">
        <v>90000</v>
      </c>
      <c r="K11" s="41"/>
    </row>
    <row r="12" spans="1:11">
      <c r="A12" s="72"/>
      <c r="B12" s="21">
        <v>9</v>
      </c>
      <c r="C12" s="44"/>
      <c r="D12" s="45"/>
      <c r="E12" s="45"/>
      <c r="F12" s="45"/>
      <c r="G12" s="50"/>
      <c r="H12" s="50"/>
      <c r="I12" s="42"/>
      <c r="J12" s="47"/>
      <c r="K12" s="41"/>
    </row>
    <row r="13" spans="1:11">
      <c r="A13" s="72"/>
      <c r="B13" s="21">
        <v>10</v>
      </c>
      <c r="C13" s="44"/>
      <c r="D13" s="45"/>
      <c r="E13" s="45"/>
      <c r="F13" s="45"/>
      <c r="G13" s="50"/>
      <c r="H13" s="50"/>
      <c r="I13" s="42"/>
      <c r="J13" s="47"/>
      <c r="K13" s="41"/>
    </row>
    <row r="14" spans="1:11">
      <c r="A14" s="72"/>
      <c r="B14" s="21">
        <v>11</v>
      </c>
      <c r="C14" s="44"/>
      <c r="D14" s="45"/>
      <c r="E14" s="45"/>
      <c r="F14" s="45"/>
      <c r="G14" s="43"/>
      <c r="H14" s="42"/>
      <c r="I14" s="42"/>
      <c r="J14" s="47"/>
      <c r="K14" s="41"/>
    </row>
    <row r="15" spans="1:11">
      <c r="A15" s="72"/>
      <c r="B15" s="21">
        <v>12</v>
      </c>
      <c r="C15" s="44"/>
      <c r="D15" s="43"/>
      <c r="E15" s="45"/>
      <c r="F15" s="45"/>
      <c r="G15" s="42"/>
      <c r="H15" s="42"/>
      <c r="I15" s="42"/>
      <c r="J15" s="47"/>
      <c r="K15" s="41"/>
    </row>
    <row r="16" spans="1:11">
      <c r="A16" s="72"/>
      <c r="B16" s="21">
        <v>13</v>
      </c>
      <c r="C16" s="44"/>
      <c r="D16" s="43"/>
      <c r="E16" s="45"/>
      <c r="F16" s="45"/>
      <c r="G16" s="42"/>
      <c r="H16" s="42"/>
      <c r="I16" s="42"/>
      <c r="J16" s="47"/>
      <c r="K16" s="41"/>
    </row>
    <row r="17" spans="1:11">
      <c r="A17" s="72"/>
      <c r="B17" s="21">
        <v>14</v>
      </c>
      <c r="C17" s="44"/>
      <c r="D17" s="43"/>
      <c r="E17" s="45"/>
      <c r="F17" s="45"/>
      <c r="G17" s="42"/>
      <c r="H17" s="42"/>
      <c r="I17" s="42"/>
      <c r="J17" s="47"/>
      <c r="K17" s="41"/>
    </row>
    <row r="18" spans="1:11">
      <c r="A18" s="72"/>
      <c r="B18" s="21">
        <v>15</v>
      </c>
      <c r="C18" s="44"/>
      <c r="D18" s="43"/>
      <c r="E18" s="45"/>
      <c r="F18" s="43"/>
      <c r="G18" s="42"/>
      <c r="H18" s="42"/>
      <c r="I18" s="43"/>
      <c r="J18" s="47"/>
      <c r="K18" s="41"/>
    </row>
    <row r="19" spans="1:11" ht="17.5" thickBot="1">
      <c r="A19" s="73"/>
      <c r="B19" s="74" t="s">
        <v>30</v>
      </c>
      <c r="C19" s="75"/>
      <c r="D19" s="75"/>
      <c r="E19" s="75"/>
      <c r="F19" s="75"/>
      <c r="G19" s="75"/>
      <c r="H19" s="75"/>
      <c r="I19" s="75"/>
      <c r="J19" s="30">
        <f>SUM(J4:J18)</f>
        <v>720000</v>
      </c>
      <c r="K19" s="27"/>
    </row>
    <row r="20" spans="1:11">
      <c r="A20" s="17" t="s">
        <v>20</v>
      </c>
      <c r="B20" s="18" t="s">
        <v>21</v>
      </c>
      <c r="C20" s="19" t="s">
        <v>22</v>
      </c>
      <c r="D20" s="18" t="s">
        <v>23</v>
      </c>
      <c r="E20" s="18" t="s">
        <v>24</v>
      </c>
      <c r="F20" s="18" t="s">
        <v>34</v>
      </c>
      <c r="G20" s="18" t="s">
        <v>36</v>
      </c>
      <c r="H20" s="18" t="s">
        <v>25</v>
      </c>
      <c r="I20" s="18" t="s">
        <v>26</v>
      </c>
      <c r="J20" s="18" t="s">
        <v>27</v>
      </c>
      <c r="K20" s="20" t="s">
        <v>28</v>
      </c>
    </row>
    <row r="21" spans="1:11">
      <c r="A21" s="61" t="s">
        <v>31</v>
      </c>
      <c r="B21" s="22">
        <v>1</v>
      </c>
      <c r="C21" s="44">
        <v>45814</v>
      </c>
      <c r="D21" s="43" t="s">
        <v>46</v>
      </c>
      <c r="E21" s="45" t="s">
        <v>47</v>
      </c>
      <c r="F21" s="45" t="s">
        <v>211</v>
      </c>
      <c r="G21" s="43" t="s">
        <v>48</v>
      </c>
      <c r="H21" s="42" t="s">
        <v>212</v>
      </c>
      <c r="I21" s="42" t="s">
        <v>213</v>
      </c>
      <c r="J21" s="34">
        <v>90000</v>
      </c>
      <c r="K21" s="27"/>
    </row>
    <row r="22" spans="1:11">
      <c r="A22" s="62"/>
      <c r="B22" s="22">
        <v>2</v>
      </c>
      <c r="C22" s="44"/>
      <c r="D22" s="45"/>
      <c r="E22" s="45"/>
      <c r="F22" s="45"/>
      <c r="G22" s="43"/>
      <c r="H22" s="42"/>
      <c r="I22" s="42"/>
      <c r="J22" s="47"/>
      <c r="K22" s="27"/>
    </row>
    <row r="23" spans="1:11">
      <c r="A23" s="62"/>
      <c r="B23" s="22">
        <v>3</v>
      </c>
      <c r="C23" s="32"/>
      <c r="D23" s="43"/>
      <c r="E23" s="43"/>
      <c r="F23" s="43"/>
      <c r="G23" s="43"/>
      <c r="H23" s="42"/>
      <c r="I23" s="42"/>
      <c r="J23" s="34"/>
      <c r="K23" s="27"/>
    </row>
    <row r="24" spans="1:11">
      <c r="A24" s="62"/>
      <c r="B24" s="22">
        <v>4</v>
      </c>
      <c r="C24" s="32"/>
      <c r="D24" s="43"/>
      <c r="E24" s="43"/>
      <c r="F24" s="43"/>
      <c r="G24" s="43"/>
      <c r="H24" s="42"/>
      <c r="I24" s="42"/>
      <c r="J24" s="34"/>
      <c r="K24" s="27"/>
    </row>
    <row r="25" spans="1:11">
      <c r="A25" s="62"/>
      <c r="B25" s="22">
        <v>5</v>
      </c>
      <c r="C25" s="32"/>
      <c r="D25" s="43"/>
      <c r="E25" s="43"/>
      <c r="F25" s="31"/>
      <c r="G25" s="43"/>
      <c r="H25" s="23"/>
      <c r="I25" s="33"/>
      <c r="J25" s="34"/>
      <c r="K25" s="27"/>
    </row>
    <row r="26" spans="1:11" ht="17.5" thickBot="1">
      <c r="A26" s="63"/>
      <c r="B26" s="64" t="s">
        <v>30</v>
      </c>
      <c r="C26" s="64"/>
      <c r="D26" s="64"/>
      <c r="E26" s="64"/>
      <c r="F26" s="64"/>
      <c r="G26" s="64"/>
      <c r="H26" s="64"/>
      <c r="I26" s="64"/>
      <c r="J26" s="28">
        <f>SUM(J21:J25)</f>
        <v>90000</v>
      </c>
      <c r="K26" s="27"/>
    </row>
    <row r="27" spans="1:11">
      <c r="A27" s="17" t="s">
        <v>20</v>
      </c>
      <c r="B27" s="18" t="s">
        <v>21</v>
      </c>
      <c r="C27" s="19" t="s">
        <v>22</v>
      </c>
      <c r="D27" s="18" t="s">
        <v>23</v>
      </c>
      <c r="E27" s="18" t="s">
        <v>24</v>
      </c>
      <c r="F27" s="18" t="s">
        <v>34</v>
      </c>
      <c r="G27" s="18"/>
      <c r="H27" s="18" t="s">
        <v>25</v>
      </c>
      <c r="I27" s="18" t="s">
        <v>26</v>
      </c>
      <c r="J27" s="18" t="s">
        <v>27</v>
      </c>
      <c r="K27" s="20" t="s">
        <v>28</v>
      </c>
    </row>
    <row r="28" spans="1:11">
      <c r="A28" s="61" t="s">
        <v>32</v>
      </c>
      <c r="B28" s="24"/>
      <c r="C28" s="26"/>
      <c r="D28" s="24"/>
      <c r="E28" s="24"/>
      <c r="F28" s="29"/>
      <c r="G28" s="29"/>
      <c r="H28" s="23"/>
      <c r="I28" s="24"/>
      <c r="J28" s="25"/>
      <c r="K28" s="27"/>
    </row>
    <row r="29" spans="1:11">
      <c r="A29" s="62"/>
      <c r="B29" s="24"/>
      <c r="C29" s="26"/>
      <c r="D29" s="24"/>
      <c r="E29" s="24"/>
      <c r="F29" s="29"/>
      <c r="G29" s="29"/>
      <c r="H29" s="23"/>
      <c r="I29" s="24"/>
      <c r="J29" s="25"/>
      <c r="K29" s="27"/>
    </row>
    <row r="30" spans="1:11">
      <c r="A30" s="63"/>
      <c r="B30" s="64" t="s">
        <v>30</v>
      </c>
      <c r="C30" s="64"/>
      <c r="D30" s="64"/>
      <c r="E30" s="64"/>
      <c r="F30" s="64"/>
      <c r="G30" s="64"/>
      <c r="H30" s="64"/>
      <c r="I30" s="64"/>
      <c r="J30" s="28">
        <f>SUM(J28:J29)</f>
        <v>0</v>
      </c>
      <c r="K30" s="27"/>
    </row>
    <row r="31" spans="1:11" ht="17.5" thickBot="1">
      <c r="A31" s="65" t="s">
        <v>33</v>
      </c>
      <c r="B31" s="66"/>
      <c r="C31" s="66"/>
      <c r="D31" s="66"/>
      <c r="E31" s="66"/>
      <c r="F31" s="66"/>
      <c r="G31" s="66"/>
      <c r="H31" s="66"/>
      <c r="I31" s="67"/>
      <c r="J31" s="39">
        <f>SUM(J19,J26,J30)</f>
        <v>810000</v>
      </c>
      <c r="K31" s="40"/>
    </row>
  </sheetData>
  <mergeCells count="9">
    <mergeCell ref="A28:A30"/>
    <mergeCell ref="B30:I30"/>
    <mergeCell ref="A31:I31"/>
    <mergeCell ref="A1:K1"/>
    <mergeCell ref="J2:K2"/>
    <mergeCell ref="A4:A19"/>
    <mergeCell ref="B19:I19"/>
    <mergeCell ref="A21:A26"/>
    <mergeCell ref="B26:I26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K31"/>
  <sheetViews>
    <sheetView topLeftCell="B1" workbookViewId="0">
      <selection activeCell="K10" sqref="K10"/>
    </sheetView>
  </sheetViews>
  <sheetFormatPr defaultRowHeight="17"/>
  <cols>
    <col min="1" max="1" width="6.33203125" bestFit="1" customWidth="1"/>
    <col min="2" max="2" width="3.75" bestFit="1" customWidth="1"/>
    <col min="3" max="3" width="10.83203125" bestFit="1" customWidth="1"/>
    <col min="4" max="4" width="9.58203125" bestFit="1" customWidth="1"/>
    <col min="5" max="5" width="6.33203125" bestFit="1" customWidth="1"/>
    <col min="6" max="6" width="81.08203125" bestFit="1" customWidth="1"/>
    <col min="7" max="7" width="21.33203125" bestFit="1" customWidth="1"/>
    <col min="8" max="8" width="21.75" bestFit="1" customWidth="1"/>
    <col min="9" max="9" width="7.5" bestFit="1" customWidth="1"/>
    <col min="10" max="10" width="10.5" customWidth="1"/>
    <col min="11" max="11" width="27.83203125" bestFit="1" customWidth="1"/>
  </cols>
  <sheetData>
    <row r="1" spans="1:11" ht="26">
      <c r="A1" s="68" t="s">
        <v>65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17.5" thickBot="1">
      <c r="A2" s="14"/>
      <c r="B2" s="14"/>
      <c r="C2" s="15"/>
      <c r="D2" s="16"/>
      <c r="E2" s="14"/>
      <c r="F2" s="16"/>
      <c r="G2" s="16"/>
      <c r="H2" s="16"/>
      <c r="I2" s="16"/>
      <c r="J2" s="69" t="s">
        <v>19</v>
      </c>
      <c r="K2" s="70"/>
    </row>
    <row r="3" spans="1:11">
      <c r="A3" s="17" t="s">
        <v>20</v>
      </c>
      <c r="B3" s="18" t="s">
        <v>21</v>
      </c>
      <c r="C3" s="19" t="s">
        <v>22</v>
      </c>
      <c r="D3" s="18" t="s">
        <v>23</v>
      </c>
      <c r="E3" s="18" t="s">
        <v>24</v>
      </c>
      <c r="F3" s="18" t="s">
        <v>34</v>
      </c>
      <c r="G3" s="18" t="s">
        <v>35</v>
      </c>
      <c r="H3" s="18" t="s">
        <v>25</v>
      </c>
      <c r="I3" s="18" t="s">
        <v>26</v>
      </c>
      <c r="J3" s="18" t="s">
        <v>27</v>
      </c>
      <c r="K3" s="20" t="s">
        <v>28</v>
      </c>
    </row>
    <row r="4" spans="1:11">
      <c r="A4" s="71" t="s">
        <v>29</v>
      </c>
      <c r="B4" s="21">
        <v>1</v>
      </c>
      <c r="C4" s="44">
        <v>45843</v>
      </c>
      <c r="D4" s="45" t="s">
        <v>49</v>
      </c>
      <c r="E4" s="45" t="s">
        <v>52</v>
      </c>
      <c r="F4" s="45" t="s">
        <v>249</v>
      </c>
      <c r="G4" s="43" t="s">
        <v>250</v>
      </c>
      <c r="H4" s="42" t="s">
        <v>251</v>
      </c>
      <c r="I4" s="42" t="s">
        <v>252</v>
      </c>
      <c r="J4" s="47">
        <v>100000</v>
      </c>
      <c r="K4" s="41"/>
    </row>
    <row r="5" spans="1:11">
      <c r="A5" s="72"/>
      <c r="B5" s="21">
        <v>2</v>
      </c>
      <c r="C5" s="44">
        <v>45840</v>
      </c>
      <c r="D5" s="45" t="s">
        <v>253</v>
      </c>
      <c r="E5" s="45" t="s">
        <v>254</v>
      </c>
      <c r="F5" s="45" t="s">
        <v>255</v>
      </c>
      <c r="G5" s="43" t="s">
        <v>256</v>
      </c>
      <c r="H5" s="42" t="s">
        <v>257</v>
      </c>
      <c r="I5" s="42" t="s">
        <v>258</v>
      </c>
      <c r="J5" s="47">
        <v>100000</v>
      </c>
      <c r="K5" s="41"/>
    </row>
    <row r="6" spans="1:11">
      <c r="A6" s="72"/>
      <c r="B6" s="21">
        <v>3</v>
      </c>
      <c r="C6" s="44">
        <v>45840</v>
      </c>
      <c r="D6" s="45" t="s">
        <v>253</v>
      </c>
      <c r="E6" s="45" t="s">
        <v>254</v>
      </c>
      <c r="F6" s="45" t="s">
        <v>255</v>
      </c>
      <c r="G6" s="43" t="s">
        <v>256</v>
      </c>
      <c r="H6" s="42" t="s">
        <v>257</v>
      </c>
      <c r="I6" s="42" t="s">
        <v>259</v>
      </c>
      <c r="J6" s="47">
        <v>100000</v>
      </c>
      <c r="K6" s="41"/>
    </row>
    <row r="7" spans="1:11">
      <c r="A7" s="72"/>
      <c r="B7" s="21">
        <v>4</v>
      </c>
      <c r="C7" s="44">
        <v>45840</v>
      </c>
      <c r="D7" s="45" t="s">
        <v>253</v>
      </c>
      <c r="E7" s="45" t="s">
        <v>254</v>
      </c>
      <c r="F7" s="45" t="s">
        <v>255</v>
      </c>
      <c r="G7" s="43" t="s">
        <v>256</v>
      </c>
      <c r="H7" s="42" t="s">
        <v>257</v>
      </c>
      <c r="I7" s="42" t="s">
        <v>260</v>
      </c>
      <c r="J7" s="47">
        <v>100000</v>
      </c>
      <c r="K7" s="41"/>
    </row>
    <row r="8" spans="1:11">
      <c r="A8" s="72"/>
      <c r="B8" s="21">
        <v>5</v>
      </c>
      <c r="C8" s="44">
        <v>45840</v>
      </c>
      <c r="D8" s="53" t="s">
        <v>264</v>
      </c>
      <c r="E8" s="45" t="s">
        <v>262</v>
      </c>
      <c r="F8" s="45" t="s">
        <v>265</v>
      </c>
      <c r="G8" s="43" t="s">
        <v>266</v>
      </c>
      <c r="H8" s="42" t="s">
        <v>267</v>
      </c>
      <c r="I8" s="42" t="s">
        <v>268</v>
      </c>
      <c r="J8" s="47">
        <v>100000</v>
      </c>
      <c r="K8" s="41"/>
    </row>
    <row r="9" spans="1:11">
      <c r="A9" s="72"/>
      <c r="B9" s="21">
        <v>6</v>
      </c>
      <c r="C9" s="44">
        <v>45849</v>
      </c>
      <c r="D9" s="53" t="s">
        <v>261</v>
      </c>
      <c r="E9" s="45" t="s">
        <v>262</v>
      </c>
      <c r="F9" s="45" t="s">
        <v>263</v>
      </c>
      <c r="G9" s="43" t="s">
        <v>270</v>
      </c>
      <c r="H9" s="42" t="s">
        <v>51</v>
      </c>
      <c r="I9" s="42" t="s">
        <v>269</v>
      </c>
      <c r="J9" s="47">
        <v>100000</v>
      </c>
      <c r="K9" s="41"/>
    </row>
    <row r="10" spans="1:11">
      <c r="A10" s="72"/>
      <c r="B10" s="21">
        <v>7</v>
      </c>
      <c r="C10" s="44">
        <v>45852</v>
      </c>
      <c r="D10" s="53" t="s">
        <v>53</v>
      </c>
      <c r="E10" s="45" t="s">
        <v>271</v>
      </c>
      <c r="F10" s="45" t="s">
        <v>272</v>
      </c>
      <c r="G10" s="43"/>
      <c r="H10" s="42"/>
      <c r="I10" s="42" t="s">
        <v>273</v>
      </c>
      <c r="J10" s="47">
        <v>100000</v>
      </c>
      <c r="K10" s="41"/>
    </row>
    <row r="11" spans="1:11">
      <c r="A11" s="72"/>
      <c r="B11" s="21">
        <v>8</v>
      </c>
      <c r="C11" s="44"/>
      <c r="D11" s="45"/>
      <c r="E11" s="45"/>
      <c r="F11" s="45"/>
      <c r="G11" s="43"/>
      <c r="H11" s="42"/>
      <c r="I11" s="42"/>
      <c r="J11" s="47"/>
      <c r="K11" s="41"/>
    </row>
    <row r="12" spans="1:11">
      <c r="A12" s="72"/>
      <c r="B12" s="21">
        <v>9</v>
      </c>
      <c r="C12" s="44"/>
      <c r="D12" s="45"/>
      <c r="E12" s="45"/>
      <c r="F12" s="45"/>
      <c r="G12" s="50"/>
      <c r="H12" s="50"/>
      <c r="I12" s="42"/>
      <c r="J12" s="47"/>
      <c r="K12" s="41"/>
    </row>
    <row r="13" spans="1:11">
      <c r="A13" s="72"/>
      <c r="B13" s="21">
        <v>10</v>
      </c>
      <c r="C13" s="44"/>
      <c r="D13" s="45"/>
      <c r="E13" s="45"/>
      <c r="F13" s="45"/>
      <c r="G13" s="50"/>
      <c r="H13" s="50"/>
      <c r="I13" s="42"/>
      <c r="J13" s="47"/>
      <c r="K13" s="41"/>
    </row>
    <row r="14" spans="1:11">
      <c r="A14" s="72"/>
      <c r="B14" s="21">
        <v>11</v>
      </c>
      <c r="C14" s="44"/>
      <c r="D14" s="45"/>
      <c r="E14" s="45"/>
      <c r="F14" s="45"/>
      <c r="G14" s="50"/>
      <c r="H14" s="50"/>
      <c r="I14" s="42"/>
      <c r="J14" s="47"/>
      <c r="K14" s="41"/>
    </row>
    <row r="15" spans="1:11">
      <c r="A15" s="72"/>
      <c r="B15" s="21">
        <v>12</v>
      </c>
      <c r="C15" s="44"/>
      <c r="D15" s="45"/>
      <c r="E15" s="45"/>
      <c r="F15" s="45"/>
      <c r="G15" s="50"/>
      <c r="H15" s="50"/>
      <c r="I15" s="42"/>
      <c r="J15" s="47"/>
      <c r="K15" s="41"/>
    </row>
    <row r="16" spans="1:11">
      <c r="A16" s="72"/>
      <c r="B16" s="21">
        <v>13</v>
      </c>
      <c r="C16" s="44"/>
      <c r="D16" s="45"/>
      <c r="E16" s="45"/>
      <c r="F16" s="45"/>
      <c r="G16" s="43"/>
      <c r="H16" s="42"/>
      <c r="I16" s="42"/>
      <c r="J16" s="47"/>
      <c r="K16" s="41"/>
    </row>
    <row r="17" spans="1:11">
      <c r="A17" s="72"/>
      <c r="B17" s="21">
        <v>14</v>
      </c>
      <c r="C17" s="44"/>
      <c r="D17" s="43"/>
      <c r="E17" s="45"/>
      <c r="F17" s="45"/>
      <c r="G17" s="42"/>
      <c r="H17" s="42"/>
      <c r="I17" s="42"/>
      <c r="J17" s="47"/>
      <c r="K17" s="41"/>
    </row>
    <row r="18" spans="1:11">
      <c r="A18" s="72"/>
      <c r="B18" s="21">
        <v>15</v>
      </c>
      <c r="C18" s="44"/>
      <c r="D18" s="43"/>
      <c r="E18" s="45"/>
      <c r="F18" s="43"/>
      <c r="G18" s="42"/>
      <c r="H18" s="42"/>
      <c r="I18" s="43"/>
      <c r="J18" s="47"/>
      <c r="K18" s="41"/>
    </row>
    <row r="19" spans="1:11" ht="17.5" thickBot="1">
      <c r="A19" s="73"/>
      <c r="B19" s="74" t="s">
        <v>30</v>
      </c>
      <c r="C19" s="75"/>
      <c r="D19" s="75"/>
      <c r="E19" s="75"/>
      <c r="F19" s="75"/>
      <c r="G19" s="75"/>
      <c r="H19" s="75"/>
      <c r="I19" s="75"/>
      <c r="J19" s="30">
        <f>SUM(J4:J18)</f>
        <v>700000</v>
      </c>
      <c r="K19" s="27"/>
    </row>
    <row r="20" spans="1:11" ht="19.5" customHeight="1">
      <c r="A20" s="17" t="s">
        <v>20</v>
      </c>
      <c r="B20" s="18" t="s">
        <v>21</v>
      </c>
      <c r="C20" s="19" t="s">
        <v>22</v>
      </c>
      <c r="D20" s="18" t="s">
        <v>23</v>
      </c>
      <c r="E20" s="18" t="s">
        <v>24</v>
      </c>
      <c r="F20" s="18" t="s">
        <v>34</v>
      </c>
      <c r="G20" s="18" t="s">
        <v>36</v>
      </c>
      <c r="H20" s="18" t="s">
        <v>25</v>
      </c>
      <c r="I20" s="18" t="s">
        <v>26</v>
      </c>
      <c r="J20" s="18" t="s">
        <v>27</v>
      </c>
      <c r="K20" s="20" t="s">
        <v>28</v>
      </c>
    </row>
    <row r="21" spans="1:11">
      <c r="A21" s="61" t="s">
        <v>31</v>
      </c>
      <c r="B21" s="22">
        <v>1</v>
      </c>
      <c r="C21" s="32"/>
      <c r="D21" s="43"/>
      <c r="E21" s="43"/>
      <c r="F21" s="43"/>
      <c r="G21" s="43"/>
      <c r="H21" s="42"/>
      <c r="I21" s="42"/>
      <c r="J21" s="34"/>
      <c r="K21" s="27"/>
    </row>
    <row r="22" spans="1:11">
      <c r="A22" s="62"/>
      <c r="B22" s="22">
        <v>2</v>
      </c>
      <c r="C22" s="44"/>
      <c r="D22" s="45"/>
      <c r="E22" s="45"/>
      <c r="F22" s="45"/>
      <c r="G22" s="43"/>
      <c r="H22" s="42"/>
      <c r="I22" s="42"/>
      <c r="J22" s="47"/>
      <c r="K22" s="27"/>
    </row>
    <row r="23" spans="1:11">
      <c r="A23" s="62"/>
      <c r="B23" s="22">
        <v>3</v>
      </c>
      <c r="C23" s="32"/>
      <c r="D23" s="43"/>
      <c r="E23" s="43"/>
      <c r="F23" s="43"/>
      <c r="G23" s="43"/>
      <c r="H23" s="42"/>
      <c r="I23" s="42"/>
      <c r="J23" s="34"/>
      <c r="K23" s="27"/>
    </row>
    <row r="24" spans="1:11">
      <c r="A24" s="62"/>
      <c r="B24" s="22">
        <v>4</v>
      </c>
      <c r="C24" s="32"/>
      <c r="D24" s="43"/>
      <c r="E24" s="43"/>
      <c r="F24" s="43"/>
      <c r="G24" s="43"/>
      <c r="H24" s="42"/>
      <c r="I24" s="42"/>
      <c r="J24" s="34"/>
      <c r="K24" s="27"/>
    </row>
    <row r="25" spans="1:11">
      <c r="A25" s="62"/>
      <c r="B25" s="22">
        <v>5</v>
      </c>
      <c r="C25" s="32"/>
      <c r="D25" s="43"/>
      <c r="E25" s="43"/>
      <c r="F25" s="31"/>
      <c r="G25" s="43"/>
      <c r="H25" s="23"/>
      <c r="I25" s="33"/>
      <c r="J25" s="34"/>
      <c r="K25" s="27"/>
    </row>
    <row r="26" spans="1:11" ht="17.5" thickBot="1">
      <c r="A26" s="63"/>
      <c r="B26" s="64" t="s">
        <v>30</v>
      </c>
      <c r="C26" s="64"/>
      <c r="D26" s="64"/>
      <c r="E26" s="64"/>
      <c r="F26" s="64"/>
      <c r="G26" s="64"/>
      <c r="H26" s="64"/>
      <c r="I26" s="64"/>
      <c r="J26" s="28">
        <f>SUM(J21:J25)</f>
        <v>0</v>
      </c>
      <c r="K26" s="27"/>
    </row>
    <row r="27" spans="1:11">
      <c r="A27" s="17" t="s">
        <v>20</v>
      </c>
      <c r="B27" s="18" t="s">
        <v>21</v>
      </c>
      <c r="C27" s="19" t="s">
        <v>22</v>
      </c>
      <c r="D27" s="18" t="s">
        <v>23</v>
      </c>
      <c r="E27" s="18" t="s">
        <v>24</v>
      </c>
      <c r="F27" s="18" t="s">
        <v>34</v>
      </c>
      <c r="G27" s="18"/>
      <c r="H27" s="18" t="s">
        <v>25</v>
      </c>
      <c r="I27" s="18" t="s">
        <v>26</v>
      </c>
      <c r="J27" s="18" t="s">
        <v>27</v>
      </c>
      <c r="K27" s="20" t="s">
        <v>28</v>
      </c>
    </row>
    <row r="28" spans="1:11">
      <c r="A28" s="61" t="s">
        <v>32</v>
      </c>
      <c r="B28" s="24"/>
      <c r="C28" s="26"/>
      <c r="D28" s="24"/>
      <c r="E28" s="24"/>
      <c r="F28" s="29"/>
      <c r="G28" s="29"/>
      <c r="H28" s="23"/>
      <c r="I28" s="24"/>
      <c r="J28" s="25"/>
      <c r="K28" s="27"/>
    </row>
    <row r="29" spans="1:11">
      <c r="A29" s="62"/>
      <c r="B29" s="24"/>
      <c r="C29" s="26"/>
      <c r="D29" s="24"/>
      <c r="E29" s="24"/>
      <c r="F29" s="29"/>
      <c r="G29" s="29"/>
      <c r="H29" s="23"/>
      <c r="I29" s="24"/>
      <c r="J29" s="25"/>
      <c r="K29" s="27"/>
    </row>
    <row r="30" spans="1:11">
      <c r="A30" s="63"/>
      <c r="B30" s="64" t="s">
        <v>30</v>
      </c>
      <c r="C30" s="64"/>
      <c r="D30" s="64"/>
      <c r="E30" s="64"/>
      <c r="F30" s="64"/>
      <c r="G30" s="64"/>
      <c r="H30" s="64"/>
      <c r="I30" s="64"/>
      <c r="J30" s="28">
        <f>SUM(J28:J29)</f>
        <v>0</v>
      </c>
      <c r="K30" s="27"/>
    </row>
    <row r="31" spans="1:11" ht="17.5" thickBot="1">
      <c r="A31" s="65" t="s">
        <v>33</v>
      </c>
      <c r="B31" s="66"/>
      <c r="C31" s="66"/>
      <c r="D31" s="66"/>
      <c r="E31" s="66"/>
      <c r="F31" s="66"/>
      <c r="G31" s="66"/>
      <c r="H31" s="66"/>
      <c r="I31" s="67"/>
      <c r="J31" s="39">
        <f>SUM(J19,J26,J30)</f>
        <v>700000</v>
      </c>
      <c r="K31" s="40"/>
    </row>
  </sheetData>
  <mergeCells count="9">
    <mergeCell ref="A28:A30"/>
    <mergeCell ref="B30:I30"/>
    <mergeCell ref="A31:I31"/>
    <mergeCell ref="A1:K1"/>
    <mergeCell ref="J2:K2"/>
    <mergeCell ref="A4:A19"/>
    <mergeCell ref="B19:I19"/>
    <mergeCell ref="A21:A26"/>
    <mergeCell ref="B26:I26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K24"/>
  <sheetViews>
    <sheetView workbookViewId="0">
      <selection activeCell="K9" sqref="K9"/>
    </sheetView>
  </sheetViews>
  <sheetFormatPr defaultRowHeight="17"/>
  <cols>
    <col min="1" max="1" width="6.33203125" bestFit="1" customWidth="1"/>
    <col min="2" max="2" width="3.75" bestFit="1" customWidth="1"/>
    <col min="3" max="3" width="10.83203125" bestFit="1" customWidth="1"/>
    <col min="4" max="4" width="9.58203125" bestFit="1" customWidth="1"/>
    <col min="5" max="5" width="6.33203125" bestFit="1" customWidth="1"/>
    <col min="6" max="6" width="81.08203125" bestFit="1" customWidth="1"/>
    <col min="7" max="7" width="21.33203125" bestFit="1" customWidth="1"/>
    <col min="8" max="8" width="21.75" bestFit="1" customWidth="1"/>
    <col min="9" max="9" width="7.5" bestFit="1" customWidth="1"/>
    <col min="10" max="10" width="10.5" customWidth="1"/>
    <col min="11" max="11" width="27.83203125" bestFit="1" customWidth="1"/>
  </cols>
  <sheetData>
    <row r="1" spans="1:11" ht="26">
      <c r="A1" s="68" t="s">
        <v>66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17.5" thickBot="1">
      <c r="A2" s="14"/>
      <c r="B2" s="14"/>
      <c r="C2" s="15"/>
      <c r="D2" s="16"/>
      <c r="E2" s="14"/>
      <c r="F2" s="16"/>
      <c r="G2" s="16"/>
      <c r="H2" s="16"/>
      <c r="I2" s="16"/>
      <c r="J2" s="69" t="s">
        <v>19</v>
      </c>
      <c r="K2" s="70"/>
    </row>
    <row r="3" spans="1:11">
      <c r="A3" s="17" t="s">
        <v>20</v>
      </c>
      <c r="B3" s="18" t="s">
        <v>21</v>
      </c>
      <c r="C3" s="19" t="s">
        <v>22</v>
      </c>
      <c r="D3" s="18" t="s">
        <v>23</v>
      </c>
      <c r="E3" s="18" t="s">
        <v>24</v>
      </c>
      <c r="F3" s="18" t="s">
        <v>34</v>
      </c>
      <c r="G3" s="18" t="s">
        <v>35</v>
      </c>
      <c r="H3" s="18" t="s">
        <v>25</v>
      </c>
      <c r="I3" s="18" t="s">
        <v>26</v>
      </c>
      <c r="J3" s="18" t="s">
        <v>27</v>
      </c>
      <c r="K3" s="20" t="s">
        <v>28</v>
      </c>
    </row>
    <row r="4" spans="1:11">
      <c r="A4" s="71" t="s">
        <v>29</v>
      </c>
      <c r="B4" s="21">
        <v>1</v>
      </c>
      <c r="C4" s="44">
        <v>45870</v>
      </c>
      <c r="D4" s="45" t="s">
        <v>282</v>
      </c>
      <c r="E4" s="45" t="s">
        <v>283</v>
      </c>
      <c r="F4" s="45" t="s">
        <v>281</v>
      </c>
      <c r="G4" s="43"/>
      <c r="H4" s="42" t="s">
        <v>280</v>
      </c>
      <c r="I4" s="42" t="s">
        <v>279</v>
      </c>
      <c r="J4" s="47">
        <v>100000</v>
      </c>
      <c r="K4" s="41"/>
    </row>
    <row r="5" spans="1:11">
      <c r="A5" s="72"/>
      <c r="B5" s="21">
        <v>2</v>
      </c>
      <c r="C5" s="44">
        <v>45872</v>
      </c>
      <c r="D5" s="45" t="s">
        <v>274</v>
      </c>
      <c r="E5" s="45" t="s">
        <v>275</v>
      </c>
      <c r="F5" s="45" t="s">
        <v>276</v>
      </c>
      <c r="G5" s="43" t="s">
        <v>277</v>
      </c>
      <c r="H5" s="42"/>
      <c r="I5" s="42" t="s">
        <v>278</v>
      </c>
      <c r="J5" s="47">
        <v>100000</v>
      </c>
      <c r="K5" s="41"/>
    </row>
    <row r="6" spans="1:11">
      <c r="A6" s="72"/>
      <c r="B6" s="21"/>
      <c r="C6" s="44">
        <v>45876</v>
      </c>
      <c r="D6" s="43" t="s">
        <v>45</v>
      </c>
      <c r="E6" s="45" t="s">
        <v>37</v>
      </c>
      <c r="F6" s="45" t="s">
        <v>284</v>
      </c>
      <c r="G6" s="43" t="s">
        <v>295</v>
      </c>
      <c r="H6" s="42"/>
      <c r="I6" s="42" t="s">
        <v>296</v>
      </c>
      <c r="J6" s="47">
        <v>100000</v>
      </c>
      <c r="K6" s="41"/>
    </row>
    <row r="7" spans="1:11">
      <c r="A7" s="72"/>
      <c r="B7" s="21"/>
      <c r="C7" s="44">
        <v>45883</v>
      </c>
      <c r="D7" s="45" t="s">
        <v>54</v>
      </c>
      <c r="E7" s="45" t="s">
        <v>288</v>
      </c>
      <c r="F7" s="45" t="s">
        <v>289</v>
      </c>
      <c r="G7" s="43" t="s">
        <v>290</v>
      </c>
      <c r="H7" s="42" t="s">
        <v>291</v>
      </c>
      <c r="I7" s="42" t="s">
        <v>292</v>
      </c>
      <c r="J7" s="47">
        <v>100000</v>
      </c>
      <c r="K7" s="41"/>
    </row>
    <row r="8" spans="1:11">
      <c r="A8" s="72"/>
      <c r="B8" s="21"/>
      <c r="C8" s="44">
        <v>45886</v>
      </c>
      <c r="D8" s="45" t="s">
        <v>297</v>
      </c>
      <c r="E8" s="45" t="s">
        <v>37</v>
      </c>
      <c r="F8" s="45" t="s">
        <v>298</v>
      </c>
      <c r="G8" s="50" t="s">
        <v>299</v>
      </c>
      <c r="H8" s="50"/>
      <c r="I8" s="42" t="s">
        <v>300</v>
      </c>
      <c r="J8" s="47">
        <v>100000</v>
      </c>
      <c r="K8" s="41"/>
    </row>
    <row r="9" spans="1:11">
      <c r="A9" s="72"/>
      <c r="B9" s="21"/>
      <c r="C9" s="44">
        <v>45896</v>
      </c>
      <c r="D9" s="45" t="s">
        <v>42</v>
      </c>
      <c r="E9" s="45" t="s">
        <v>39</v>
      </c>
      <c r="F9" s="45" t="s">
        <v>301</v>
      </c>
      <c r="G9" s="50" t="s">
        <v>302</v>
      </c>
      <c r="H9" s="50" t="s">
        <v>303</v>
      </c>
      <c r="I9" s="42" t="s">
        <v>304</v>
      </c>
      <c r="J9" s="47">
        <v>100000</v>
      </c>
      <c r="K9" s="41"/>
    </row>
    <row r="10" spans="1:11">
      <c r="A10" s="72"/>
      <c r="B10" s="21"/>
      <c r="C10" s="44"/>
      <c r="D10" s="45"/>
      <c r="E10" s="45"/>
      <c r="F10" s="45"/>
      <c r="G10" s="43"/>
      <c r="H10" s="42"/>
      <c r="I10" s="42"/>
      <c r="J10" s="47"/>
      <c r="K10" s="41"/>
    </row>
    <row r="11" spans="1:11">
      <c r="A11" s="72"/>
      <c r="B11" s="21"/>
      <c r="C11" s="44"/>
      <c r="D11" s="43"/>
      <c r="E11" s="45"/>
      <c r="F11" s="45"/>
      <c r="G11" s="42"/>
      <c r="H11" s="42"/>
      <c r="I11" s="42"/>
      <c r="J11" s="47"/>
      <c r="K11" s="41"/>
    </row>
    <row r="12" spans="1:11" ht="17.5" thickBot="1">
      <c r="A12" s="73"/>
      <c r="B12" s="74"/>
      <c r="C12" s="75"/>
      <c r="D12" s="75"/>
      <c r="E12" s="75"/>
      <c r="F12" s="75"/>
      <c r="G12" s="75"/>
      <c r="H12" s="75"/>
      <c r="I12" s="75"/>
      <c r="J12" s="30">
        <f>SUM(J4:J11)</f>
        <v>600000</v>
      </c>
      <c r="K12" s="27"/>
    </row>
    <row r="13" spans="1:11">
      <c r="A13" s="17" t="s">
        <v>20</v>
      </c>
      <c r="B13" s="18" t="s">
        <v>21</v>
      </c>
      <c r="C13" s="19" t="s">
        <v>22</v>
      </c>
      <c r="D13" s="18" t="s">
        <v>23</v>
      </c>
      <c r="E13" s="18" t="s">
        <v>24</v>
      </c>
      <c r="F13" s="18" t="s">
        <v>34</v>
      </c>
      <c r="G13" s="18" t="s">
        <v>36</v>
      </c>
      <c r="H13" s="18" t="s">
        <v>25</v>
      </c>
      <c r="I13" s="18" t="s">
        <v>26</v>
      </c>
      <c r="J13" s="18" t="s">
        <v>27</v>
      </c>
      <c r="K13" s="20" t="s">
        <v>28</v>
      </c>
    </row>
    <row r="14" spans="1:11">
      <c r="A14" s="61" t="s">
        <v>31</v>
      </c>
      <c r="B14" s="22">
        <v>1</v>
      </c>
      <c r="C14" s="32">
        <v>45892</v>
      </c>
      <c r="D14" s="43" t="s">
        <v>286</v>
      </c>
      <c r="E14" s="43"/>
      <c r="F14" s="43" t="s">
        <v>285</v>
      </c>
      <c r="G14" s="43" t="s">
        <v>287</v>
      </c>
      <c r="H14" s="42" t="s">
        <v>293</v>
      </c>
      <c r="I14" s="42" t="s">
        <v>294</v>
      </c>
      <c r="J14" s="34">
        <v>100000</v>
      </c>
      <c r="K14" s="27"/>
    </row>
    <row r="15" spans="1:11">
      <c r="A15" s="62"/>
      <c r="B15" s="22">
        <v>2</v>
      </c>
      <c r="C15" s="44"/>
      <c r="D15" s="45"/>
      <c r="E15" s="45"/>
      <c r="F15" s="45"/>
      <c r="G15" s="43"/>
      <c r="H15" s="42"/>
      <c r="I15" s="42"/>
      <c r="J15" s="47"/>
      <c r="K15" s="27"/>
    </row>
    <row r="16" spans="1:11">
      <c r="A16" s="62"/>
      <c r="B16" s="22">
        <v>3</v>
      </c>
      <c r="C16" s="32"/>
      <c r="D16" s="43"/>
      <c r="E16" s="43"/>
      <c r="F16" s="43"/>
      <c r="G16" s="43"/>
      <c r="H16" s="42"/>
      <c r="I16" s="42"/>
      <c r="J16" s="34"/>
      <c r="K16" s="27"/>
    </row>
    <row r="17" spans="1:11">
      <c r="A17" s="62"/>
      <c r="B17" s="22">
        <v>4</v>
      </c>
      <c r="C17" s="32"/>
      <c r="D17" s="43"/>
      <c r="E17" s="43"/>
      <c r="F17" s="43"/>
      <c r="G17" s="43"/>
      <c r="H17" s="42"/>
      <c r="I17" s="42"/>
      <c r="J17" s="34"/>
      <c r="K17" s="27"/>
    </row>
    <row r="18" spans="1:11">
      <c r="A18" s="62"/>
      <c r="B18" s="22">
        <v>5</v>
      </c>
      <c r="C18" s="32"/>
      <c r="D18" s="43"/>
      <c r="E18" s="43"/>
      <c r="F18" s="31"/>
      <c r="G18" s="43"/>
      <c r="H18" s="23"/>
      <c r="I18" s="33"/>
      <c r="J18" s="34"/>
      <c r="K18" s="27"/>
    </row>
    <row r="19" spans="1:11" ht="17.5" thickBot="1">
      <c r="A19" s="63"/>
      <c r="B19" s="64" t="s">
        <v>30</v>
      </c>
      <c r="C19" s="64"/>
      <c r="D19" s="64"/>
      <c r="E19" s="64"/>
      <c r="F19" s="64"/>
      <c r="G19" s="64"/>
      <c r="H19" s="64"/>
      <c r="I19" s="64"/>
      <c r="J19" s="28">
        <f>SUM(J14:J18)</f>
        <v>100000</v>
      </c>
      <c r="K19" s="27"/>
    </row>
    <row r="20" spans="1:11">
      <c r="A20" s="17" t="s">
        <v>20</v>
      </c>
      <c r="B20" s="18" t="s">
        <v>21</v>
      </c>
      <c r="C20" s="19" t="s">
        <v>22</v>
      </c>
      <c r="D20" s="18" t="s">
        <v>23</v>
      </c>
      <c r="E20" s="18" t="s">
        <v>24</v>
      </c>
      <c r="F20" s="18" t="s">
        <v>34</v>
      </c>
      <c r="G20" s="18"/>
      <c r="H20" s="18" t="s">
        <v>25</v>
      </c>
      <c r="I20" s="18" t="s">
        <v>26</v>
      </c>
      <c r="J20" s="18" t="s">
        <v>27</v>
      </c>
      <c r="K20" s="20" t="s">
        <v>28</v>
      </c>
    </row>
    <row r="21" spans="1:11">
      <c r="A21" s="61" t="s">
        <v>32</v>
      </c>
      <c r="B21" s="24"/>
      <c r="C21" s="26"/>
      <c r="D21" s="24"/>
      <c r="E21" s="24"/>
      <c r="F21" s="29"/>
      <c r="G21" s="29"/>
      <c r="H21" s="23"/>
      <c r="I21" s="24"/>
      <c r="J21" s="25"/>
      <c r="K21" s="27"/>
    </row>
    <row r="22" spans="1:11">
      <c r="A22" s="62"/>
      <c r="B22" s="24"/>
      <c r="C22" s="26"/>
      <c r="D22" s="24"/>
      <c r="E22" s="24"/>
      <c r="F22" s="29"/>
      <c r="G22" s="29"/>
      <c r="H22" s="23"/>
      <c r="I22" s="24"/>
      <c r="J22" s="25"/>
      <c r="K22" s="27"/>
    </row>
    <row r="23" spans="1:11">
      <c r="A23" s="63"/>
      <c r="B23" s="64" t="s">
        <v>30</v>
      </c>
      <c r="C23" s="64"/>
      <c r="D23" s="64"/>
      <c r="E23" s="64"/>
      <c r="F23" s="64"/>
      <c r="G23" s="64"/>
      <c r="H23" s="64"/>
      <c r="I23" s="64"/>
      <c r="J23" s="28">
        <f>SUM(J21:J22)</f>
        <v>0</v>
      </c>
      <c r="K23" s="27"/>
    </row>
    <row r="24" spans="1:11" ht="17.5" thickBot="1">
      <c r="A24" s="65" t="s">
        <v>33</v>
      </c>
      <c r="B24" s="66"/>
      <c r="C24" s="66"/>
      <c r="D24" s="66"/>
      <c r="E24" s="66"/>
      <c r="F24" s="66"/>
      <c r="G24" s="66"/>
      <c r="H24" s="66"/>
      <c r="I24" s="67"/>
      <c r="J24" s="39">
        <f>SUM(J12,J19,J23)</f>
        <v>700000</v>
      </c>
      <c r="K24" s="40"/>
    </row>
  </sheetData>
  <mergeCells count="9">
    <mergeCell ref="A21:A23"/>
    <mergeCell ref="B23:I23"/>
    <mergeCell ref="A24:I24"/>
    <mergeCell ref="A1:K1"/>
    <mergeCell ref="J2:K2"/>
    <mergeCell ref="A4:A12"/>
    <mergeCell ref="B12:I12"/>
    <mergeCell ref="A14:A19"/>
    <mergeCell ref="B19:I19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K27"/>
  <sheetViews>
    <sheetView topLeftCell="A2" workbookViewId="0">
      <selection activeCell="J4" sqref="J4:J14"/>
    </sheetView>
  </sheetViews>
  <sheetFormatPr defaultRowHeight="17"/>
  <cols>
    <col min="1" max="1" width="6.33203125" bestFit="1" customWidth="1"/>
    <col min="2" max="2" width="3.75" bestFit="1" customWidth="1"/>
    <col min="3" max="3" width="10.83203125" bestFit="1" customWidth="1"/>
    <col min="4" max="4" width="9.58203125" bestFit="1" customWidth="1"/>
    <col min="5" max="5" width="6.33203125" bestFit="1" customWidth="1"/>
    <col min="6" max="6" width="81.08203125" bestFit="1" customWidth="1"/>
    <col min="7" max="7" width="21.33203125" bestFit="1" customWidth="1"/>
    <col min="8" max="8" width="21.75" bestFit="1" customWidth="1"/>
    <col min="9" max="9" width="7.5" bestFit="1" customWidth="1"/>
    <col min="10" max="10" width="10.5" customWidth="1"/>
    <col min="11" max="11" width="27.83203125" bestFit="1" customWidth="1"/>
  </cols>
  <sheetData>
    <row r="1" spans="1:11" ht="26">
      <c r="A1" s="68" t="s">
        <v>67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17.5" thickBot="1">
      <c r="A2" s="14"/>
      <c r="B2" s="14"/>
      <c r="C2" s="15"/>
      <c r="D2" s="16"/>
      <c r="E2" s="14"/>
      <c r="F2" s="16"/>
      <c r="G2" s="16"/>
      <c r="H2" s="16"/>
      <c r="I2" s="16"/>
      <c r="J2" s="69" t="s">
        <v>19</v>
      </c>
      <c r="K2" s="70"/>
    </row>
    <row r="3" spans="1:11">
      <c r="A3" s="17" t="s">
        <v>20</v>
      </c>
      <c r="B3" s="18" t="s">
        <v>21</v>
      </c>
      <c r="C3" s="19" t="s">
        <v>22</v>
      </c>
      <c r="D3" s="18" t="s">
        <v>23</v>
      </c>
      <c r="E3" s="18" t="s">
        <v>24</v>
      </c>
      <c r="F3" s="18" t="s">
        <v>34</v>
      </c>
      <c r="G3" s="18" t="s">
        <v>35</v>
      </c>
      <c r="H3" s="18" t="s">
        <v>25</v>
      </c>
      <c r="I3" s="18" t="s">
        <v>26</v>
      </c>
      <c r="J3" s="18" t="s">
        <v>27</v>
      </c>
      <c r="K3" s="20" t="s">
        <v>28</v>
      </c>
    </row>
    <row r="4" spans="1:11">
      <c r="A4" s="71" t="s">
        <v>29</v>
      </c>
      <c r="B4" s="21">
        <v>1</v>
      </c>
      <c r="C4" s="44">
        <v>45906</v>
      </c>
      <c r="D4" s="45" t="s">
        <v>312</v>
      </c>
      <c r="E4" s="45" t="s">
        <v>313</v>
      </c>
      <c r="F4" s="54" t="s">
        <v>322</v>
      </c>
      <c r="G4" s="43" t="s">
        <v>320</v>
      </c>
      <c r="H4" s="42" t="s">
        <v>319</v>
      </c>
      <c r="I4" s="42" t="s">
        <v>321</v>
      </c>
      <c r="J4" s="47">
        <v>100000</v>
      </c>
      <c r="K4" s="41"/>
    </row>
    <row r="5" spans="1:11">
      <c r="A5" s="72"/>
      <c r="B5" s="21">
        <v>2</v>
      </c>
      <c r="C5" s="44">
        <v>45915</v>
      </c>
      <c r="D5" s="45" t="s">
        <v>314</v>
      </c>
      <c r="E5" s="45" t="s">
        <v>315</v>
      </c>
      <c r="F5" s="45" t="s">
        <v>316</v>
      </c>
      <c r="G5" s="43" t="s">
        <v>317</v>
      </c>
      <c r="H5" s="42" t="s">
        <v>318</v>
      </c>
      <c r="I5" s="42"/>
      <c r="J5" s="47">
        <v>100000</v>
      </c>
      <c r="K5" s="41"/>
    </row>
    <row r="6" spans="1:11">
      <c r="A6" s="72"/>
      <c r="B6" s="21">
        <v>3</v>
      </c>
      <c r="C6" s="44">
        <v>45927</v>
      </c>
      <c r="D6" s="43" t="s">
        <v>323</v>
      </c>
      <c r="E6" s="45" t="s">
        <v>37</v>
      </c>
      <c r="F6" s="45" t="s">
        <v>324</v>
      </c>
      <c r="G6" s="43" t="s">
        <v>325</v>
      </c>
      <c r="H6" s="42" t="s">
        <v>326</v>
      </c>
      <c r="I6" s="42" t="s">
        <v>327</v>
      </c>
      <c r="J6" s="47">
        <v>100000</v>
      </c>
      <c r="K6" s="41"/>
    </row>
    <row r="7" spans="1:11">
      <c r="A7" s="72"/>
      <c r="B7" s="21">
        <v>4</v>
      </c>
      <c r="C7" s="44">
        <v>45912</v>
      </c>
      <c r="D7" s="45" t="s">
        <v>333</v>
      </c>
      <c r="E7" s="45" t="s">
        <v>334</v>
      </c>
      <c r="F7" s="45" t="s">
        <v>335</v>
      </c>
      <c r="G7" s="43" t="s">
        <v>336</v>
      </c>
      <c r="H7" s="42" t="s">
        <v>337</v>
      </c>
      <c r="I7" s="42" t="s">
        <v>338</v>
      </c>
      <c r="J7" s="47">
        <v>100000</v>
      </c>
      <c r="K7" s="41"/>
    </row>
    <row r="8" spans="1:11">
      <c r="A8" s="72"/>
      <c r="B8" s="21">
        <v>5</v>
      </c>
      <c r="C8" s="44">
        <v>45920</v>
      </c>
      <c r="D8" s="45" t="s">
        <v>339</v>
      </c>
      <c r="E8" s="45" t="s">
        <v>340</v>
      </c>
      <c r="F8" s="45" t="s">
        <v>341</v>
      </c>
      <c r="G8" s="50" t="s">
        <v>342</v>
      </c>
      <c r="H8" s="50" t="s">
        <v>343</v>
      </c>
      <c r="I8" s="42" t="s">
        <v>344</v>
      </c>
      <c r="J8" s="47">
        <v>100000</v>
      </c>
      <c r="K8" s="41"/>
    </row>
    <row r="9" spans="1:11">
      <c r="A9" s="72"/>
      <c r="B9" s="21">
        <v>6</v>
      </c>
      <c r="C9" s="44">
        <v>45920</v>
      </c>
      <c r="D9" s="45" t="s">
        <v>42</v>
      </c>
      <c r="E9" s="45" t="s">
        <v>50</v>
      </c>
      <c r="F9" s="45" t="s">
        <v>349</v>
      </c>
      <c r="G9" s="50" t="s">
        <v>350</v>
      </c>
      <c r="H9" s="50" t="s">
        <v>347</v>
      </c>
      <c r="I9" s="42" t="s">
        <v>351</v>
      </c>
      <c r="J9" s="47">
        <v>100000</v>
      </c>
      <c r="K9" s="41"/>
    </row>
    <row r="10" spans="1:11">
      <c r="A10" s="72"/>
      <c r="B10" s="21">
        <v>7</v>
      </c>
      <c r="C10" s="44">
        <v>45921</v>
      </c>
      <c r="D10" s="45" t="s">
        <v>352</v>
      </c>
      <c r="E10" s="45" t="s">
        <v>50</v>
      </c>
      <c r="F10" s="45" t="s">
        <v>353</v>
      </c>
      <c r="G10" s="50" t="s">
        <v>354</v>
      </c>
      <c r="H10" s="50" t="s">
        <v>355</v>
      </c>
      <c r="I10" s="42" t="s">
        <v>356</v>
      </c>
      <c r="J10" s="47">
        <v>100000</v>
      </c>
      <c r="K10" s="41"/>
    </row>
    <row r="11" spans="1:11">
      <c r="A11" s="72"/>
      <c r="B11" s="21">
        <v>8</v>
      </c>
      <c r="C11" s="44">
        <v>45922</v>
      </c>
      <c r="D11" s="45" t="s">
        <v>42</v>
      </c>
      <c r="E11" s="45" t="s">
        <v>37</v>
      </c>
      <c r="F11" s="45" t="s">
        <v>345</v>
      </c>
      <c r="G11" s="50" t="s">
        <v>346</v>
      </c>
      <c r="H11" s="50" t="s">
        <v>57</v>
      </c>
      <c r="I11" s="42" t="s">
        <v>348</v>
      </c>
      <c r="J11" s="47">
        <v>100000</v>
      </c>
      <c r="K11" s="41"/>
    </row>
    <row r="12" spans="1:11">
      <c r="A12" s="72"/>
      <c r="B12" s="55">
        <v>9</v>
      </c>
      <c r="C12" s="44">
        <v>45929</v>
      </c>
      <c r="D12" s="56" t="s">
        <v>363</v>
      </c>
      <c r="E12" s="42" t="s">
        <v>364</v>
      </c>
      <c r="F12" s="42" t="s">
        <v>365</v>
      </c>
      <c r="G12" s="50" t="s">
        <v>366</v>
      </c>
      <c r="H12" s="50" t="s">
        <v>367</v>
      </c>
      <c r="I12" s="42" t="s">
        <v>368</v>
      </c>
      <c r="J12" s="47">
        <v>100000</v>
      </c>
      <c r="K12" s="41"/>
    </row>
    <row r="13" spans="1:11">
      <c r="A13" s="72"/>
      <c r="B13" s="55">
        <v>10</v>
      </c>
      <c r="C13" s="44">
        <v>45929</v>
      </c>
      <c r="D13" s="56" t="s">
        <v>363</v>
      </c>
      <c r="E13" s="42" t="s">
        <v>364</v>
      </c>
      <c r="F13" s="45" t="s">
        <v>371</v>
      </c>
      <c r="G13" s="50" t="s">
        <v>372</v>
      </c>
      <c r="H13" s="50" t="s">
        <v>373</v>
      </c>
      <c r="I13" s="42" t="s">
        <v>374</v>
      </c>
      <c r="J13" s="47">
        <v>100000</v>
      </c>
      <c r="K13" s="41"/>
    </row>
    <row r="14" spans="1:11">
      <c r="A14" s="72"/>
      <c r="B14" s="55">
        <v>11</v>
      </c>
      <c r="C14" s="44">
        <v>45930</v>
      </c>
      <c r="D14" s="56" t="s">
        <v>369</v>
      </c>
      <c r="E14" s="45" t="s">
        <v>370</v>
      </c>
      <c r="F14" s="45" t="s">
        <v>375</v>
      </c>
      <c r="G14" s="50" t="s">
        <v>376</v>
      </c>
      <c r="H14" s="50" t="s">
        <v>326</v>
      </c>
      <c r="I14" s="42" t="s">
        <v>377</v>
      </c>
      <c r="J14" s="47">
        <v>100000</v>
      </c>
      <c r="K14" s="41"/>
    </row>
    <row r="15" spans="1:11" ht="17.5" thickBot="1">
      <c r="A15" s="73"/>
      <c r="B15" s="74" t="s">
        <v>30</v>
      </c>
      <c r="C15" s="75"/>
      <c r="D15" s="75"/>
      <c r="E15" s="75"/>
      <c r="F15" s="75"/>
      <c r="G15" s="75"/>
      <c r="H15" s="75"/>
      <c r="I15" s="75"/>
      <c r="J15" s="30">
        <f>SUM(J4:J14)</f>
        <v>1100000</v>
      </c>
      <c r="K15" s="27"/>
    </row>
    <row r="16" spans="1:11">
      <c r="A16" s="17" t="s">
        <v>20</v>
      </c>
      <c r="B16" s="18" t="s">
        <v>21</v>
      </c>
      <c r="C16" s="19" t="s">
        <v>22</v>
      </c>
      <c r="D16" s="18" t="s">
        <v>23</v>
      </c>
      <c r="E16" s="18" t="s">
        <v>24</v>
      </c>
      <c r="F16" s="18" t="s">
        <v>34</v>
      </c>
      <c r="G16" s="18" t="s">
        <v>36</v>
      </c>
      <c r="H16" s="18" t="s">
        <v>25</v>
      </c>
      <c r="I16" s="18" t="s">
        <v>26</v>
      </c>
      <c r="J16" s="18" t="s">
        <v>27</v>
      </c>
      <c r="K16" s="20" t="s">
        <v>28</v>
      </c>
    </row>
    <row r="17" spans="1:11">
      <c r="A17" s="61" t="s">
        <v>31</v>
      </c>
      <c r="B17" s="22">
        <v>1</v>
      </c>
      <c r="C17" s="32">
        <v>45914</v>
      </c>
      <c r="D17" s="43" t="s">
        <v>305</v>
      </c>
      <c r="E17" s="43" t="s">
        <v>306</v>
      </c>
      <c r="F17" s="43" t="s">
        <v>307</v>
      </c>
      <c r="G17" s="43" t="s">
        <v>308</v>
      </c>
      <c r="H17" s="42" t="s">
        <v>309</v>
      </c>
      <c r="I17" s="42" t="s">
        <v>310</v>
      </c>
      <c r="J17" s="34">
        <v>100000</v>
      </c>
      <c r="K17" s="27"/>
    </row>
    <row r="18" spans="1:11">
      <c r="A18" s="62"/>
      <c r="B18" s="22">
        <v>2</v>
      </c>
      <c r="C18" s="44">
        <v>45913</v>
      </c>
      <c r="D18" s="45" t="s">
        <v>41</v>
      </c>
      <c r="E18" s="45" t="s">
        <v>328</v>
      </c>
      <c r="F18" s="45" t="s">
        <v>329</v>
      </c>
      <c r="G18" s="43" t="s">
        <v>330</v>
      </c>
      <c r="H18" s="42" t="s">
        <v>331</v>
      </c>
      <c r="I18" s="42" t="s">
        <v>332</v>
      </c>
      <c r="J18" s="47">
        <v>100000</v>
      </c>
      <c r="K18" s="27"/>
    </row>
    <row r="19" spans="1:11">
      <c r="A19" s="62"/>
      <c r="B19" s="22">
        <v>3</v>
      </c>
      <c r="C19" s="32">
        <v>45928</v>
      </c>
      <c r="D19" s="43" t="s">
        <v>357</v>
      </c>
      <c r="E19" s="43" t="s">
        <v>358</v>
      </c>
      <c r="F19" s="43" t="s">
        <v>359</v>
      </c>
      <c r="G19" s="43" t="s">
        <v>360</v>
      </c>
      <c r="H19" s="42" t="s">
        <v>362</v>
      </c>
      <c r="I19" s="42" t="s">
        <v>361</v>
      </c>
      <c r="J19" s="34">
        <v>100000</v>
      </c>
      <c r="K19" s="27"/>
    </row>
    <row r="20" spans="1:11">
      <c r="A20" s="62"/>
      <c r="B20" s="22">
        <v>4</v>
      </c>
      <c r="C20" s="32"/>
      <c r="D20" s="43"/>
      <c r="E20" s="43"/>
      <c r="F20" s="43"/>
      <c r="G20" s="43"/>
      <c r="H20" s="42"/>
      <c r="I20" s="42"/>
      <c r="J20" s="34"/>
      <c r="K20" s="27"/>
    </row>
    <row r="21" spans="1:11">
      <c r="A21" s="62"/>
      <c r="B21" s="22">
        <v>5</v>
      </c>
      <c r="C21" s="32"/>
      <c r="D21" s="43"/>
      <c r="E21" s="43"/>
      <c r="F21" s="31"/>
      <c r="G21" s="43"/>
      <c r="H21" s="23"/>
      <c r="I21" s="33"/>
      <c r="J21" s="34"/>
      <c r="K21" s="27"/>
    </row>
    <row r="22" spans="1:11" ht="17.5" thickBot="1">
      <c r="A22" s="63"/>
      <c r="B22" s="64" t="s">
        <v>30</v>
      </c>
      <c r="C22" s="64"/>
      <c r="D22" s="64"/>
      <c r="E22" s="64"/>
      <c r="F22" s="64"/>
      <c r="G22" s="64"/>
      <c r="H22" s="64"/>
      <c r="I22" s="64"/>
      <c r="J22" s="28">
        <f>SUM(J17:J21)</f>
        <v>300000</v>
      </c>
      <c r="K22" s="27"/>
    </row>
    <row r="23" spans="1:11">
      <c r="A23" s="17" t="s">
        <v>20</v>
      </c>
      <c r="B23" s="18" t="s">
        <v>21</v>
      </c>
      <c r="C23" s="19" t="s">
        <v>22</v>
      </c>
      <c r="D23" s="18" t="s">
        <v>23</v>
      </c>
      <c r="E23" s="18" t="s">
        <v>24</v>
      </c>
      <c r="F23" s="18" t="s">
        <v>34</v>
      </c>
      <c r="G23" s="18"/>
      <c r="H23" s="18" t="s">
        <v>25</v>
      </c>
      <c r="I23" s="18" t="s">
        <v>26</v>
      </c>
      <c r="J23" s="18" t="s">
        <v>27</v>
      </c>
      <c r="K23" s="20" t="s">
        <v>28</v>
      </c>
    </row>
    <row r="24" spans="1:11">
      <c r="A24" s="61" t="s">
        <v>32</v>
      </c>
      <c r="B24" s="24"/>
      <c r="C24" s="26"/>
      <c r="D24" s="24"/>
      <c r="E24" s="24"/>
      <c r="F24" s="29"/>
      <c r="G24" s="29"/>
      <c r="H24" s="23"/>
      <c r="I24" s="24"/>
      <c r="J24" s="25"/>
      <c r="K24" s="27"/>
    </row>
    <row r="25" spans="1:11">
      <c r="A25" s="62"/>
      <c r="B25" s="24"/>
      <c r="C25" s="26"/>
      <c r="D25" s="24"/>
      <c r="E25" s="24"/>
      <c r="F25" s="29"/>
      <c r="G25" s="29"/>
      <c r="H25" s="23"/>
      <c r="I25" s="24"/>
      <c r="J25" s="25"/>
      <c r="K25" s="27"/>
    </row>
    <row r="26" spans="1:11">
      <c r="A26" s="63"/>
      <c r="B26" s="64" t="s">
        <v>30</v>
      </c>
      <c r="C26" s="64"/>
      <c r="D26" s="64"/>
      <c r="E26" s="64"/>
      <c r="F26" s="64"/>
      <c r="G26" s="64"/>
      <c r="H26" s="64"/>
      <c r="I26" s="64"/>
      <c r="J26" s="28">
        <f>SUM(J24:J25)</f>
        <v>0</v>
      </c>
      <c r="K26" s="27"/>
    </row>
    <row r="27" spans="1:11" ht="17.5" thickBot="1">
      <c r="A27" s="65" t="s">
        <v>33</v>
      </c>
      <c r="B27" s="66"/>
      <c r="C27" s="66"/>
      <c r="D27" s="66"/>
      <c r="E27" s="66"/>
      <c r="F27" s="66"/>
      <c r="G27" s="66"/>
      <c r="H27" s="66"/>
      <c r="I27" s="67"/>
      <c r="J27" s="39">
        <f>SUM(J15,J22,J26)</f>
        <v>1400000</v>
      </c>
      <c r="K27" s="40"/>
    </row>
  </sheetData>
  <mergeCells count="9">
    <mergeCell ref="A24:A26"/>
    <mergeCell ref="B26:I26"/>
    <mergeCell ref="A27:I27"/>
    <mergeCell ref="A1:K1"/>
    <mergeCell ref="J2:K2"/>
    <mergeCell ref="A4:A15"/>
    <mergeCell ref="B15:I15"/>
    <mergeCell ref="A17:A22"/>
    <mergeCell ref="B22:I22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K31"/>
  <sheetViews>
    <sheetView workbookViewId="0">
      <selection activeCell="I15" sqref="I15"/>
    </sheetView>
  </sheetViews>
  <sheetFormatPr defaultRowHeight="17"/>
  <cols>
    <col min="1" max="1" width="6.33203125" bestFit="1" customWidth="1"/>
    <col min="2" max="2" width="3.75" bestFit="1" customWidth="1"/>
    <col min="3" max="3" width="10.83203125" bestFit="1" customWidth="1"/>
    <col min="4" max="4" width="9.58203125" bestFit="1" customWidth="1"/>
    <col min="5" max="5" width="6.33203125" bestFit="1" customWidth="1"/>
    <col min="6" max="6" width="81.08203125" bestFit="1" customWidth="1"/>
    <col min="7" max="7" width="21.33203125" bestFit="1" customWidth="1"/>
    <col min="8" max="8" width="21.75" bestFit="1" customWidth="1"/>
    <col min="9" max="9" width="7.5" bestFit="1" customWidth="1"/>
    <col min="10" max="10" width="10.5" customWidth="1"/>
    <col min="11" max="11" width="27.83203125" bestFit="1" customWidth="1"/>
  </cols>
  <sheetData>
    <row r="1" spans="1:11" ht="26">
      <c r="A1" s="68" t="s">
        <v>68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17.5" thickBot="1">
      <c r="A2" s="14"/>
      <c r="B2" s="14"/>
      <c r="C2" s="15"/>
      <c r="D2" s="16"/>
      <c r="E2" s="14"/>
      <c r="F2" s="16"/>
      <c r="G2" s="16"/>
      <c r="H2" s="16"/>
      <c r="I2" s="16"/>
      <c r="J2" s="69" t="s">
        <v>19</v>
      </c>
      <c r="K2" s="70"/>
    </row>
    <row r="3" spans="1:11">
      <c r="A3" s="17" t="s">
        <v>20</v>
      </c>
      <c r="B3" s="18" t="s">
        <v>21</v>
      </c>
      <c r="C3" s="19" t="s">
        <v>22</v>
      </c>
      <c r="D3" s="18" t="s">
        <v>23</v>
      </c>
      <c r="E3" s="18" t="s">
        <v>24</v>
      </c>
      <c r="F3" s="18" t="s">
        <v>34</v>
      </c>
      <c r="G3" s="18" t="s">
        <v>35</v>
      </c>
      <c r="H3" s="18" t="s">
        <v>25</v>
      </c>
      <c r="I3" s="18" t="s">
        <v>26</v>
      </c>
      <c r="J3" s="18" t="s">
        <v>27</v>
      </c>
      <c r="K3" s="20" t="s">
        <v>28</v>
      </c>
    </row>
    <row r="4" spans="1:11">
      <c r="A4" s="71" t="s">
        <v>29</v>
      </c>
      <c r="B4" s="21">
        <v>1</v>
      </c>
      <c r="C4" s="44">
        <v>45941</v>
      </c>
      <c r="D4" s="45" t="s">
        <v>381</v>
      </c>
      <c r="E4" s="45" t="s">
        <v>382</v>
      </c>
      <c r="F4" s="45" t="s">
        <v>397</v>
      </c>
      <c r="G4" s="43"/>
      <c r="H4" s="42"/>
      <c r="I4" s="42" t="s">
        <v>398</v>
      </c>
      <c r="J4" s="47">
        <v>100000</v>
      </c>
      <c r="K4" s="41"/>
    </row>
    <row r="5" spans="1:11">
      <c r="A5" s="72"/>
      <c r="B5" s="21">
        <v>2</v>
      </c>
      <c r="C5" s="44">
        <v>45944</v>
      </c>
      <c r="D5" s="45" t="s">
        <v>388</v>
      </c>
      <c r="E5" s="45" t="s">
        <v>389</v>
      </c>
      <c r="F5" s="45" t="s">
        <v>390</v>
      </c>
      <c r="G5" s="43" t="s">
        <v>391</v>
      </c>
      <c r="H5" s="42" t="s">
        <v>392</v>
      </c>
      <c r="I5" s="42" t="s">
        <v>393</v>
      </c>
      <c r="J5" s="47">
        <v>100000</v>
      </c>
      <c r="K5" s="41"/>
    </row>
    <row r="6" spans="1:11">
      <c r="A6" s="72"/>
      <c r="B6" s="21">
        <v>3</v>
      </c>
      <c r="C6" s="44">
        <v>45946</v>
      </c>
      <c r="D6" s="43" t="s">
        <v>394</v>
      </c>
      <c r="E6" s="45" t="s">
        <v>39</v>
      </c>
      <c r="F6" s="45" t="s">
        <v>395</v>
      </c>
      <c r="G6" s="43"/>
      <c r="H6" s="42"/>
      <c r="I6" s="42" t="s">
        <v>396</v>
      </c>
      <c r="J6" s="47">
        <v>100000</v>
      </c>
      <c r="K6" s="41"/>
    </row>
    <row r="7" spans="1:11">
      <c r="A7" s="72"/>
      <c r="B7" s="21">
        <v>4</v>
      </c>
      <c r="C7" s="44">
        <v>45955</v>
      </c>
      <c r="D7" s="45" t="s">
        <v>399</v>
      </c>
      <c r="E7" s="45" t="s">
        <v>400</v>
      </c>
      <c r="F7" s="45" t="s">
        <v>401</v>
      </c>
      <c r="G7" s="43" t="s">
        <v>402</v>
      </c>
      <c r="H7" s="42" t="s">
        <v>403</v>
      </c>
      <c r="I7" s="42" t="s">
        <v>404</v>
      </c>
      <c r="J7" s="47">
        <v>100000</v>
      </c>
      <c r="K7" s="41"/>
    </row>
    <row r="8" spans="1:11">
      <c r="A8" s="72"/>
      <c r="B8" s="21">
        <v>5</v>
      </c>
      <c r="C8" s="44">
        <v>45953</v>
      </c>
      <c r="D8" s="45" t="s">
        <v>40</v>
      </c>
      <c r="E8" s="45" t="s">
        <v>411</v>
      </c>
      <c r="F8" s="45" t="s">
        <v>412</v>
      </c>
      <c r="G8" s="43" t="s">
        <v>413</v>
      </c>
      <c r="H8" s="42" t="s">
        <v>414</v>
      </c>
      <c r="I8" s="42" t="s">
        <v>415</v>
      </c>
      <c r="J8" s="47">
        <v>100000</v>
      </c>
      <c r="K8" s="41"/>
    </row>
    <row r="9" spans="1:11">
      <c r="A9" s="72"/>
      <c r="B9" s="21">
        <v>6</v>
      </c>
      <c r="C9" s="44">
        <v>45954</v>
      </c>
      <c r="D9" s="45" t="s">
        <v>416</v>
      </c>
      <c r="E9" s="45" t="s">
        <v>417</v>
      </c>
      <c r="F9" s="45" t="s">
        <v>418</v>
      </c>
      <c r="G9" s="50" t="s">
        <v>419</v>
      </c>
      <c r="H9" s="50" t="s">
        <v>420</v>
      </c>
      <c r="I9" s="42" t="s">
        <v>421</v>
      </c>
      <c r="J9" s="47">
        <v>100000</v>
      </c>
      <c r="K9" s="41"/>
    </row>
    <row r="10" spans="1:11">
      <c r="A10" s="72"/>
      <c r="B10" s="21">
        <v>7</v>
      </c>
      <c r="C10" s="44">
        <v>45954</v>
      </c>
      <c r="D10" s="45" t="s">
        <v>426</v>
      </c>
      <c r="E10" s="45" t="s">
        <v>60</v>
      </c>
      <c r="F10" s="45" t="s">
        <v>427</v>
      </c>
      <c r="G10" s="50" t="s">
        <v>428</v>
      </c>
      <c r="H10" s="50"/>
      <c r="I10" s="42" t="s">
        <v>429</v>
      </c>
      <c r="J10" s="47">
        <v>100000</v>
      </c>
      <c r="K10" s="41"/>
    </row>
    <row r="11" spans="1:11">
      <c r="A11" s="72"/>
      <c r="B11" s="21">
        <v>8</v>
      </c>
      <c r="C11" s="44">
        <v>45958</v>
      </c>
      <c r="D11" s="45" t="s">
        <v>59</v>
      </c>
      <c r="E11" s="45" t="s">
        <v>58</v>
      </c>
      <c r="F11" s="45" t="s">
        <v>422</v>
      </c>
      <c r="G11" s="50" t="s">
        <v>423</v>
      </c>
      <c r="H11" s="50" t="s">
        <v>424</v>
      </c>
      <c r="I11" s="42" t="s">
        <v>425</v>
      </c>
      <c r="J11" s="47">
        <v>100000</v>
      </c>
      <c r="K11" s="41"/>
    </row>
    <row r="12" spans="1:11">
      <c r="A12" s="72"/>
      <c r="B12" s="21">
        <v>9</v>
      </c>
      <c r="C12" s="44"/>
      <c r="D12" s="45"/>
      <c r="E12" s="45"/>
      <c r="F12" s="45"/>
      <c r="G12" s="50"/>
      <c r="H12" s="50"/>
      <c r="I12" s="42"/>
      <c r="J12" s="47"/>
      <c r="K12" s="41"/>
    </row>
    <row r="13" spans="1:11">
      <c r="A13" s="72"/>
      <c r="B13" s="21">
        <v>10</v>
      </c>
      <c r="C13" s="44"/>
      <c r="D13" s="45"/>
      <c r="E13" s="45"/>
      <c r="F13" s="45"/>
      <c r="G13" s="50"/>
      <c r="H13" s="50"/>
      <c r="I13" s="42"/>
      <c r="J13" s="47"/>
      <c r="K13" s="41"/>
    </row>
    <row r="14" spans="1:11">
      <c r="A14" s="72"/>
      <c r="B14" s="21">
        <v>11</v>
      </c>
      <c r="C14" s="44"/>
      <c r="D14" s="45"/>
      <c r="E14" s="45"/>
      <c r="F14" s="45"/>
      <c r="G14" s="50"/>
      <c r="H14" s="50"/>
      <c r="I14" s="42"/>
      <c r="J14" s="47"/>
      <c r="K14" s="41"/>
    </row>
    <row r="15" spans="1:11">
      <c r="A15" s="72"/>
      <c r="B15" s="21">
        <v>12</v>
      </c>
      <c r="C15" s="44"/>
      <c r="D15" s="45"/>
      <c r="E15" s="45"/>
      <c r="F15" s="45"/>
      <c r="G15" s="50"/>
      <c r="H15" s="50"/>
      <c r="I15" s="42"/>
      <c r="J15" s="47"/>
      <c r="K15" s="41"/>
    </row>
    <row r="16" spans="1:11">
      <c r="A16" s="72"/>
      <c r="B16" s="21">
        <v>13</v>
      </c>
      <c r="C16" s="44"/>
      <c r="D16" s="45"/>
      <c r="E16" s="45"/>
      <c r="F16" s="45"/>
      <c r="G16" s="50"/>
      <c r="H16" s="50"/>
      <c r="I16" s="42"/>
      <c r="J16" s="47"/>
      <c r="K16" s="41"/>
    </row>
    <row r="17" spans="1:11">
      <c r="A17" s="72"/>
      <c r="B17" s="21">
        <v>14</v>
      </c>
      <c r="C17" s="44"/>
      <c r="D17" s="45"/>
      <c r="E17" s="45"/>
      <c r="F17" s="45"/>
      <c r="G17" s="43"/>
      <c r="H17" s="42"/>
      <c r="I17" s="42"/>
      <c r="J17" s="47"/>
      <c r="K17" s="41"/>
    </row>
    <row r="18" spans="1:11">
      <c r="A18" s="72"/>
      <c r="B18" s="21">
        <v>15</v>
      </c>
      <c r="C18" s="44"/>
      <c r="D18" s="43"/>
      <c r="E18" s="45"/>
      <c r="F18" s="45"/>
      <c r="G18" s="42"/>
      <c r="H18" s="42"/>
      <c r="I18" s="42"/>
      <c r="J18" s="47"/>
      <c r="K18" s="41"/>
    </row>
    <row r="19" spans="1:11" ht="17.5" thickBot="1">
      <c r="A19" s="73"/>
      <c r="B19" s="74" t="s">
        <v>30</v>
      </c>
      <c r="C19" s="75"/>
      <c r="D19" s="75"/>
      <c r="E19" s="75"/>
      <c r="F19" s="75"/>
      <c r="G19" s="75"/>
      <c r="H19" s="75"/>
      <c r="I19" s="75"/>
      <c r="J19" s="30">
        <f>SUM(J4:J18)</f>
        <v>800000</v>
      </c>
      <c r="K19" s="27"/>
    </row>
    <row r="20" spans="1:11">
      <c r="A20" s="17" t="s">
        <v>20</v>
      </c>
      <c r="B20" s="18" t="s">
        <v>21</v>
      </c>
      <c r="C20" s="19" t="s">
        <v>22</v>
      </c>
      <c r="D20" s="18" t="s">
        <v>23</v>
      </c>
      <c r="E20" s="18" t="s">
        <v>24</v>
      </c>
      <c r="F20" s="18" t="s">
        <v>34</v>
      </c>
      <c r="G20" s="18" t="s">
        <v>36</v>
      </c>
      <c r="H20" s="18" t="s">
        <v>25</v>
      </c>
      <c r="I20" s="18" t="s">
        <v>26</v>
      </c>
      <c r="J20" s="18" t="s">
        <v>27</v>
      </c>
      <c r="K20" s="20" t="s">
        <v>28</v>
      </c>
    </row>
    <row r="21" spans="1:11">
      <c r="A21" s="61" t="s">
        <v>31</v>
      </c>
      <c r="B21" s="22">
        <v>1</v>
      </c>
      <c r="C21" s="32">
        <v>45948</v>
      </c>
      <c r="D21" s="43" t="s">
        <v>55</v>
      </c>
      <c r="E21" s="43" t="s">
        <v>56</v>
      </c>
      <c r="F21" s="43" t="s">
        <v>378</v>
      </c>
      <c r="G21" s="43" t="s">
        <v>408</v>
      </c>
      <c r="H21" s="42" t="s">
        <v>379</v>
      </c>
      <c r="I21" s="42" t="s">
        <v>380</v>
      </c>
      <c r="J21" s="34">
        <v>100000</v>
      </c>
      <c r="K21" s="27"/>
    </row>
    <row r="22" spans="1:11">
      <c r="A22" s="62"/>
      <c r="B22" s="22">
        <v>2</v>
      </c>
      <c r="C22" s="44">
        <v>45955</v>
      </c>
      <c r="D22" s="45" t="s">
        <v>383</v>
      </c>
      <c r="E22" s="45" t="s">
        <v>384</v>
      </c>
      <c r="F22" s="45" t="s">
        <v>385</v>
      </c>
      <c r="G22" s="43" t="s">
        <v>408</v>
      </c>
      <c r="H22" s="42" t="s">
        <v>386</v>
      </c>
      <c r="I22" s="42" t="s">
        <v>387</v>
      </c>
      <c r="J22" s="47">
        <v>100000</v>
      </c>
      <c r="K22" s="27"/>
    </row>
    <row r="23" spans="1:11">
      <c r="A23" s="62"/>
      <c r="B23" s="22">
        <v>3</v>
      </c>
      <c r="C23" s="32">
        <v>45955</v>
      </c>
      <c r="D23" s="43" t="s">
        <v>405</v>
      </c>
      <c r="E23" s="43" t="s">
        <v>406</v>
      </c>
      <c r="F23" s="43" t="s">
        <v>407</v>
      </c>
      <c r="G23" s="43" t="s">
        <v>408</v>
      </c>
      <c r="H23" s="42" t="s">
        <v>409</v>
      </c>
      <c r="I23" s="42" t="s">
        <v>410</v>
      </c>
      <c r="J23" s="34">
        <v>100000</v>
      </c>
      <c r="K23" s="27"/>
    </row>
    <row r="24" spans="1:11">
      <c r="A24" s="62"/>
      <c r="B24" s="22">
        <v>4</v>
      </c>
      <c r="C24" s="32"/>
      <c r="D24" s="43"/>
      <c r="E24" s="43"/>
      <c r="F24" s="43"/>
      <c r="G24" s="43"/>
      <c r="H24" s="42"/>
      <c r="I24" s="42"/>
      <c r="J24" s="34"/>
      <c r="K24" s="27"/>
    </row>
    <row r="25" spans="1:11">
      <c r="A25" s="62"/>
      <c r="B25" s="22">
        <v>5</v>
      </c>
      <c r="C25" s="32"/>
      <c r="D25" s="43"/>
      <c r="E25" s="43"/>
      <c r="F25" s="31"/>
      <c r="G25" s="43"/>
      <c r="H25" s="23"/>
      <c r="I25" s="33"/>
      <c r="J25" s="34"/>
      <c r="K25" s="27"/>
    </row>
    <row r="26" spans="1:11" ht="17.5" thickBot="1">
      <c r="A26" s="63"/>
      <c r="B26" s="64" t="s">
        <v>30</v>
      </c>
      <c r="C26" s="64"/>
      <c r="D26" s="64"/>
      <c r="E26" s="64"/>
      <c r="F26" s="64"/>
      <c r="G26" s="64"/>
      <c r="H26" s="64"/>
      <c r="I26" s="64"/>
      <c r="J26" s="28">
        <f>SUM(J21:J25)</f>
        <v>300000</v>
      </c>
      <c r="K26" s="27"/>
    </row>
    <row r="27" spans="1:11">
      <c r="A27" s="17" t="s">
        <v>20</v>
      </c>
      <c r="B27" s="18" t="s">
        <v>21</v>
      </c>
      <c r="C27" s="19" t="s">
        <v>22</v>
      </c>
      <c r="D27" s="18" t="s">
        <v>23</v>
      </c>
      <c r="E27" s="18" t="s">
        <v>24</v>
      </c>
      <c r="F27" s="18" t="s">
        <v>34</v>
      </c>
      <c r="G27" s="18"/>
      <c r="H27" s="18" t="s">
        <v>25</v>
      </c>
      <c r="I27" s="18" t="s">
        <v>26</v>
      </c>
      <c r="J27" s="18" t="s">
        <v>27</v>
      </c>
      <c r="K27" s="20" t="s">
        <v>28</v>
      </c>
    </row>
    <row r="28" spans="1:11">
      <c r="A28" s="61" t="s">
        <v>32</v>
      </c>
      <c r="B28" s="24"/>
      <c r="C28" s="26"/>
      <c r="D28" s="24"/>
      <c r="E28" s="24"/>
      <c r="F28" s="29"/>
      <c r="G28" s="29"/>
      <c r="H28" s="23"/>
      <c r="I28" s="24"/>
      <c r="J28" s="25"/>
      <c r="K28" s="27"/>
    </row>
    <row r="29" spans="1:11">
      <c r="A29" s="62"/>
      <c r="B29" s="24"/>
      <c r="C29" s="26"/>
      <c r="D29" s="24"/>
      <c r="E29" s="24"/>
      <c r="F29" s="29"/>
      <c r="G29" s="29"/>
      <c r="H29" s="23"/>
      <c r="I29" s="24"/>
      <c r="J29" s="25"/>
      <c r="K29" s="27"/>
    </row>
    <row r="30" spans="1:11">
      <c r="A30" s="63"/>
      <c r="B30" s="64" t="s">
        <v>30</v>
      </c>
      <c r="C30" s="64"/>
      <c r="D30" s="64"/>
      <c r="E30" s="64"/>
      <c r="F30" s="64"/>
      <c r="G30" s="64"/>
      <c r="H30" s="64"/>
      <c r="I30" s="64"/>
      <c r="J30" s="28">
        <f>SUM(J28:J29)</f>
        <v>0</v>
      </c>
      <c r="K30" s="27"/>
    </row>
    <row r="31" spans="1:11" ht="17.5" thickBot="1">
      <c r="A31" s="65" t="s">
        <v>33</v>
      </c>
      <c r="B31" s="66"/>
      <c r="C31" s="66"/>
      <c r="D31" s="66"/>
      <c r="E31" s="66"/>
      <c r="F31" s="66"/>
      <c r="G31" s="66"/>
      <c r="H31" s="66"/>
      <c r="I31" s="67"/>
      <c r="J31" s="39">
        <f>SUM(J19,J26,J30)</f>
        <v>1100000</v>
      </c>
      <c r="K31" s="40"/>
    </row>
  </sheetData>
  <mergeCells count="9">
    <mergeCell ref="A28:A30"/>
    <mergeCell ref="B30:I30"/>
    <mergeCell ref="A31:I31"/>
    <mergeCell ref="A1:K1"/>
    <mergeCell ref="J2:K2"/>
    <mergeCell ref="A4:A19"/>
    <mergeCell ref="B19:I19"/>
    <mergeCell ref="A21:A26"/>
    <mergeCell ref="B26:I26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K29"/>
  <sheetViews>
    <sheetView workbookViewId="0">
      <selection activeCell="J12" sqref="J12"/>
    </sheetView>
  </sheetViews>
  <sheetFormatPr defaultRowHeight="17"/>
  <cols>
    <col min="1" max="1" width="6.33203125" bestFit="1" customWidth="1"/>
    <col min="2" max="2" width="3.75" bestFit="1" customWidth="1"/>
    <col min="3" max="3" width="10.83203125" bestFit="1" customWidth="1"/>
    <col min="4" max="4" width="9.58203125" bestFit="1" customWidth="1"/>
    <col min="5" max="5" width="6.33203125" bestFit="1" customWidth="1"/>
    <col min="6" max="6" width="81.08203125" bestFit="1" customWidth="1"/>
    <col min="7" max="7" width="21.33203125" bestFit="1" customWidth="1"/>
    <col min="8" max="8" width="21.75" bestFit="1" customWidth="1"/>
    <col min="9" max="9" width="7.5" bestFit="1" customWidth="1"/>
    <col min="10" max="10" width="10.5" customWidth="1"/>
    <col min="11" max="11" width="27.83203125" bestFit="1" customWidth="1"/>
  </cols>
  <sheetData>
    <row r="1" spans="1:11" ht="26">
      <c r="A1" s="68" t="s">
        <v>69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17.5" thickBot="1">
      <c r="A2" s="14"/>
      <c r="B2" s="14"/>
      <c r="C2" s="15"/>
      <c r="D2" s="16"/>
      <c r="E2" s="14"/>
      <c r="F2" s="16"/>
      <c r="G2" s="16"/>
      <c r="H2" s="16"/>
      <c r="I2" s="16"/>
      <c r="J2" s="69" t="s">
        <v>19</v>
      </c>
      <c r="K2" s="70"/>
    </row>
    <row r="3" spans="1:11">
      <c r="A3" s="17" t="s">
        <v>20</v>
      </c>
      <c r="B3" s="18" t="s">
        <v>21</v>
      </c>
      <c r="C3" s="19" t="s">
        <v>22</v>
      </c>
      <c r="D3" s="18" t="s">
        <v>23</v>
      </c>
      <c r="E3" s="18" t="s">
        <v>24</v>
      </c>
      <c r="F3" s="18" t="s">
        <v>34</v>
      </c>
      <c r="G3" s="18" t="s">
        <v>35</v>
      </c>
      <c r="H3" s="18" t="s">
        <v>25</v>
      </c>
      <c r="I3" s="18" t="s">
        <v>26</v>
      </c>
      <c r="J3" s="18" t="s">
        <v>27</v>
      </c>
      <c r="K3" s="20" t="s">
        <v>28</v>
      </c>
    </row>
    <row r="4" spans="1:11">
      <c r="A4" s="71" t="s">
        <v>29</v>
      </c>
      <c r="B4" s="21">
        <v>1</v>
      </c>
      <c r="C4" s="44">
        <v>45962</v>
      </c>
      <c r="D4" s="45" t="s">
        <v>436</v>
      </c>
      <c r="E4" s="45" t="s">
        <v>431</v>
      </c>
      <c r="F4" s="45" t="s">
        <v>437</v>
      </c>
      <c r="G4" s="43" t="s">
        <v>438</v>
      </c>
      <c r="H4" s="42"/>
      <c r="I4" s="42"/>
      <c r="J4" s="47">
        <v>100000</v>
      </c>
      <c r="K4" s="41"/>
    </row>
    <row r="5" spans="1:11">
      <c r="A5" s="72"/>
      <c r="B5" s="21">
        <v>2</v>
      </c>
      <c r="C5" s="44">
        <v>45964</v>
      </c>
      <c r="D5" s="45" t="s">
        <v>439</v>
      </c>
      <c r="E5" s="45" t="s">
        <v>440</v>
      </c>
      <c r="F5" s="45" t="s">
        <v>441</v>
      </c>
      <c r="G5" s="43" t="s">
        <v>442</v>
      </c>
      <c r="H5" s="42" t="s">
        <v>443</v>
      </c>
      <c r="I5" s="42" t="s">
        <v>444</v>
      </c>
      <c r="J5" s="47">
        <v>100000</v>
      </c>
      <c r="K5" s="41"/>
    </row>
    <row r="6" spans="1:11">
      <c r="A6" s="72"/>
      <c r="B6" s="21">
        <v>3</v>
      </c>
      <c r="C6" s="44">
        <v>45971</v>
      </c>
      <c r="D6" s="43" t="s">
        <v>445</v>
      </c>
      <c r="E6" s="45" t="s">
        <v>446</v>
      </c>
      <c r="F6" s="45" t="s">
        <v>447</v>
      </c>
      <c r="G6" s="43" t="s">
        <v>448</v>
      </c>
      <c r="H6" s="42" t="s">
        <v>449</v>
      </c>
      <c r="I6" s="42" t="s">
        <v>450</v>
      </c>
      <c r="J6" s="47">
        <v>100000</v>
      </c>
      <c r="K6" s="41"/>
    </row>
    <row r="7" spans="1:11">
      <c r="A7" s="72"/>
      <c r="B7" s="21">
        <v>4</v>
      </c>
      <c r="C7" s="44">
        <v>45971</v>
      </c>
      <c r="D7" s="45" t="s">
        <v>451</v>
      </c>
      <c r="E7" s="45" t="s">
        <v>446</v>
      </c>
      <c r="F7" s="45" t="s">
        <v>452</v>
      </c>
      <c r="G7" s="43" t="s">
        <v>453</v>
      </c>
      <c r="H7" s="42" t="s">
        <v>454</v>
      </c>
      <c r="I7" s="42" t="s">
        <v>455</v>
      </c>
      <c r="J7" s="47">
        <v>100000</v>
      </c>
      <c r="K7" s="41"/>
    </row>
    <row r="8" spans="1:11">
      <c r="A8" s="72"/>
      <c r="B8" s="21">
        <v>5</v>
      </c>
      <c r="C8" s="44">
        <v>45976</v>
      </c>
      <c r="D8" s="45" t="s">
        <v>456</v>
      </c>
      <c r="E8" s="45" t="s">
        <v>457</v>
      </c>
      <c r="F8" s="45" t="s">
        <v>458</v>
      </c>
      <c r="G8" s="43" t="s">
        <v>459</v>
      </c>
      <c r="H8" s="42" t="s">
        <v>460</v>
      </c>
      <c r="I8" s="42" t="s">
        <v>461</v>
      </c>
      <c r="J8" s="47">
        <v>100000</v>
      </c>
      <c r="K8" s="41"/>
    </row>
    <row r="9" spans="1:11">
      <c r="A9" s="72"/>
      <c r="B9" s="21">
        <v>6</v>
      </c>
      <c r="C9" s="44">
        <v>45984</v>
      </c>
      <c r="D9" s="45" t="s">
        <v>41</v>
      </c>
      <c r="E9" s="45" t="s">
        <v>37</v>
      </c>
      <c r="F9" s="45" t="s">
        <v>462</v>
      </c>
      <c r="G9" s="50" t="s">
        <v>463</v>
      </c>
      <c r="H9" s="50" t="s">
        <v>464</v>
      </c>
      <c r="I9" s="42" t="s">
        <v>465</v>
      </c>
      <c r="J9" s="47">
        <v>100000</v>
      </c>
      <c r="K9" s="41"/>
    </row>
    <row r="10" spans="1:11">
      <c r="A10" s="72"/>
      <c r="B10" s="21">
        <v>7</v>
      </c>
      <c r="C10" s="44">
        <v>45980</v>
      </c>
      <c r="D10" s="45" t="s">
        <v>466</v>
      </c>
      <c r="E10" s="45" t="s">
        <v>37</v>
      </c>
      <c r="F10" s="45" t="s">
        <v>467</v>
      </c>
      <c r="G10" s="50" t="s">
        <v>468</v>
      </c>
      <c r="H10" s="50" t="s">
        <v>469</v>
      </c>
      <c r="I10" s="42" t="s">
        <v>470</v>
      </c>
      <c r="J10" s="47">
        <v>100000</v>
      </c>
      <c r="K10" s="41"/>
    </row>
    <row r="11" spans="1:11">
      <c r="A11" s="72"/>
      <c r="B11" s="21">
        <v>8</v>
      </c>
      <c r="C11" s="44">
        <v>45988</v>
      </c>
      <c r="D11" s="45" t="s">
        <v>471</v>
      </c>
      <c r="E11" s="45" t="s">
        <v>472</v>
      </c>
      <c r="F11" s="45" t="s">
        <v>473</v>
      </c>
      <c r="G11" s="43" t="s">
        <v>474</v>
      </c>
      <c r="H11" s="42"/>
      <c r="I11" s="42" t="s">
        <v>475</v>
      </c>
      <c r="J11" s="47">
        <v>100000</v>
      </c>
      <c r="K11" s="41"/>
    </row>
    <row r="12" spans="1:11">
      <c r="A12" s="72"/>
      <c r="B12" s="21">
        <v>9</v>
      </c>
      <c r="C12" s="44"/>
      <c r="D12" s="45"/>
      <c r="E12" s="45"/>
      <c r="F12" s="45"/>
      <c r="G12" s="43"/>
      <c r="H12" s="42"/>
      <c r="I12" s="42"/>
      <c r="J12" s="47"/>
      <c r="K12" s="41"/>
    </row>
    <row r="13" spans="1:11">
      <c r="A13" s="72"/>
      <c r="B13" s="21">
        <v>10</v>
      </c>
      <c r="C13" s="44"/>
      <c r="D13" s="45"/>
      <c r="E13" s="45"/>
      <c r="F13" s="45"/>
      <c r="G13" s="43"/>
      <c r="H13" s="42"/>
      <c r="I13" s="42"/>
      <c r="J13" s="47"/>
      <c r="K13" s="41"/>
    </row>
    <row r="14" spans="1:11">
      <c r="A14" s="72"/>
      <c r="B14" s="21">
        <v>11</v>
      </c>
      <c r="C14" s="44"/>
      <c r="D14" s="45"/>
      <c r="E14" s="45"/>
      <c r="F14" s="45"/>
      <c r="G14" s="43"/>
      <c r="H14" s="42"/>
      <c r="I14" s="42"/>
      <c r="J14" s="47"/>
      <c r="K14" s="41"/>
    </row>
    <row r="15" spans="1:11">
      <c r="A15" s="72"/>
      <c r="B15" s="21">
        <v>12</v>
      </c>
      <c r="C15" s="44"/>
      <c r="D15" s="45"/>
      <c r="E15" s="45"/>
      <c r="F15" s="45"/>
      <c r="G15" s="43"/>
      <c r="H15" s="42"/>
      <c r="I15" s="42"/>
      <c r="J15" s="47"/>
      <c r="K15" s="41"/>
    </row>
    <row r="16" spans="1:11">
      <c r="A16" s="72"/>
      <c r="B16" s="21"/>
      <c r="C16" s="44"/>
      <c r="D16" s="43"/>
      <c r="E16" s="45"/>
      <c r="F16" s="45"/>
      <c r="G16" s="42"/>
      <c r="H16" s="42"/>
      <c r="I16" s="42"/>
      <c r="J16" s="47"/>
      <c r="K16" s="41"/>
    </row>
    <row r="17" spans="1:11" ht="17.5" thickBot="1">
      <c r="A17" s="73"/>
      <c r="B17" s="74" t="s">
        <v>30</v>
      </c>
      <c r="C17" s="75"/>
      <c r="D17" s="75"/>
      <c r="E17" s="75"/>
      <c r="F17" s="75"/>
      <c r="G17" s="75"/>
      <c r="H17" s="75"/>
      <c r="I17" s="75"/>
      <c r="J17" s="30">
        <f>SUM(J4:J16)</f>
        <v>800000</v>
      </c>
      <c r="K17" s="27"/>
    </row>
    <row r="18" spans="1:11">
      <c r="A18" s="17" t="s">
        <v>20</v>
      </c>
      <c r="B18" s="18" t="s">
        <v>21</v>
      </c>
      <c r="C18" s="19" t="s">
        <v>22</v>
      </c>
      <c r="D18" s="18" t="s">
        <v>23</v>
      </c>
      <c r="E18" s="18" t="s">
        <v>24</v>
      </c>
      <c r="F18" s="18" t="s">
        <v>34</v>
      </c>
      <c r="G18" s="18" t="s">
        <v>36</v>
      </c>
      <c r="H18" s="18" t="s">
        <v>25</v>
      </c>
      <c r="I18" s="18" t="s">
        <v>26</v>
      </c>
      <c r="J18" s="18" t="s">
        <v>27</v>
      </c>
      <c r="K18" s="20" t="s">
        <v>28</v>
      </c>
    </row>
    <row r="19" spans="1:11">
      <c r="A19" s="61" t="s">
        <v>31</v>
      </c>
      <c r="B19" s="22">
        <v>1</v>
      </c>
      <c r="C19" s="44">
        <v>45963</v>
      </c>
      <c r="D19" s="45" t="s">
        <v>430</v>
      </c>
      <c r="E19" s="45" t="s">
        <v>431</v>
      </c>
      <c r="F19" s="45" t="s">
        <v>432</v>
      </c>
      <c r="G19" s="43" t="s">
        <v>433</v>
      </c>
      <c r="H19" s="42" t="s">
        <v>434</v>
      </c>
      <c r="I19" s="42" t="s">
        <v>435</v>
      </c>
      <c r="J19" s="34">
        <v>100000</v>
      </c>
      <c r="K19" s="27"/>
    </row>
    <row r="20" spans="1:11">
      <c r="A20" s="62"/>
      <c r="B20" s="22">
        <v>2</v>
      </c>
      <c r="C20" s="44"/>
      <c r="D20" s="45"/>
      <c r="E20" s="45"/>
      <c r="F20" s="45"/>
      <c r="G20" s="43"/>
      <c r="H20" s="42"/>
      <c r="I20" s="42"/>
      <c r="J20" s="47"/>
      <c r="K20" s="27"/>
    </row>
    <row r="21" spans="1:11">
      <c r="A21" s="62"/>
      <c r="B21" s="22">
        <v>3</v>
      </c>
      <c r="C21" s="32"/>
      <c r="D21" s="43"/>
      <c r="E21" s="43"/>
      <c r="F21" s="43"/>
      <c r="G21" s="43"/>
      <c r="H21" s="42"/>
      <c r="I21" s="42"/>
      <c r="J21" s="34"/>
      <c r="K21" s="27"/>
    </row>
    <row r="22" spans="1:11">
      <c r="A22" s="62"/>
      <c r="B22" s="22">
        <v>4</v>
      </c>
      <c r="C22" s="32"/>
      <c r="D22" s="43"/>
      <c r="E22" s="43"/>
      <c r="F22" s="43"/>
      <c r="G22" s="43"/>
      <c r="H22" s="42"/>
      <c r="I22" s="42"/>
      <c r="J22" s="34"/>
      <c r="K22" s="27"/>
    </row>
    <row r="23" spans="1:11">
      <c r="A23" s="62"/>
      <c r="B23" s="22">
        <v>5</v>
      </c>
      <c r="C23" s="32"/>
      <c r="D23" s="43"/>
      <c r="E23" s="43"/>
      <c r="F23" s="31"/>
      <c r="G23" s="43"/>
      <c r="H23" s="23"/>
      <c r="I23" s="33"/>
      <c r="J23" s="34"/>
      <c r="K23" s="27"/>
    </row>
    <row r="24" spans="1:11" ht="17.5" thickBot="1">
      <c r="A24" s="63"/>
      <c r="B24" s="64" t="s">
        <v>30</v>
      </c>
      <c r="C24" s="64"/>
      <c r="D24" s="64"/>
      <c r="E24" s="64"/>
      <c r="F24" s="64"/>
      <c r="G24" s="64"/>
      <c r="H24" s="64"/>
      <c r="I24" s="64"/>
      <c r="J24" s="28">
        <f>SUM(J19:J23)</f>
        <v>100000</v>
      </c>
      <c r="K24" s="27"/>
    </row>
    <row r="25" spans="1:11">
      <c r="A25" s="17" t="s">
        <v>20</v>
      </c>
      <c r="B25" s="18" t="s">
        <v>21</v>
      </c>
      <c r="C25" s="19" t="s">
        <v>22</v>
      </c>
      <c r="D25" s="18" t="s">
        <v>23</v>
      </c>
      <c r="E25" s="18" t="s">
        <v>24</v>
      </c>
      <c r="F25" s="18" t="s">
        <v>34</v>
      </c>
      <c r="G25" s="18"/>
      <c r="H25" s="18" t="s">
        <v>25</v>
      </c>
      <c r="I25" s="18" t="s">
        <v>26</v>
      </c>
      <c r="J25" s="18" t="s">
        <v>27</v>
      </c>
      <c r="K25" s="20" t="s">
        <v>28</v>
      </c>
    </row>
    <row r="26" spans="1:11">
      <c r="A26" s="61" t="s">
        <v>32</v>
      </c>
      <c r="B26" s="24"/>
      <c r="C26" s="26"/>
      <c r="D26" s="24"/>
      <c r="E26" s="24"/>
      <c r="F26" s="29"/>
      <c r="G26" s="29"/>
      <c r="H26" s="23"/>
      <c r="I26" s="24"/>
      <c r="J26" s="25"/>
      <c r="K26" s="27"/>
    </row>
    <row r="27" spans="1:11">
      <c r="A27" s="62"/>
      <c r="B27" s="24"/>
      <c r="C27" s="26"/>
      <c r="D27" s="24"/>
      <c r="E27" s="24"/>
      <c r="F27" s="29"/>
      <c r="G27" s="29"/>
      <c r="H27" s="23"/>
      <c r="I27" s="24"/>
      <c r="J27" s="25"/>
      <c r="K27" s="27"/>
    </row>
    <row r="28" spans="1:11">
      <c r="A28" s="63"/>
      <c r="B28" s="64" t="s">
        <v>30</v>
      </c>
      <c r="C28" s="64"/>
      <c r="D28" s="64"/>
      <c r="E28" s="64"/>
      <c r="F28" s="64"/>
      <c r="G28" s="64"/>
      <c r="H28" s="64"/>
      <c r="I28" s="64"/>
      <c r="J28" s="28">
        <f>SUM(J26:J27)</f>
        <v>0</v>
      </c>
      <c r="K28" s="27"/>
    </row>
    <row r="29" spans="1:11" ht="17.5" thickBot="1">
      <c r="A29" s="65" t="s">
        <v>33</v>
      </c>
      <c r="B29" s="66"/>
      <c r="C29" s="66"/>
      <c r="D29" s="66"/>
      <c r="E29" s="66"/>
      <c r="F29" s="66"/>
      <c r="G29" s="66"/>
      <c r="H29" s="66"/>
      <c r="I29" s="67"/>
      <c r="J29" s="39">
        <f>SUM(J17,J24,J28)</f>
        <v>900000</v>
      </c>
      <c r="K29" s="40"/>
    </row>
  </sheetData>
  <mergeCells count="9">
    <mergeCell ref="A26:A28"/>
    <mergeCell ref="B28:I28"/>
    <mergeCell ref="A29:I29"/>
    <mergeCell ref="A1:K1"/>
    <mergeCell ref="J2:K2"/>
    <mergeCell ref="A4:A17"/>
    <mergeCell ref="B17:I17"/>
    <mergeCell ref="A19:A24"/>
    <mergeCell ref="B24:I24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K30"/>
  <sheetViews>
    <sheetView workbookViewId="0">
      <selection activeCell="B18" sqref="B18:I18"/>
    </sheetView>
  </sheetViews>
  <sheetFormatPr defaultRowHeight="17"/>
  <cols>
    <col min="1" max="1" width="6.33203125" bestFit="1" customWidth="1"/>
    <col min="2" max="2" width="3.75" bestFit="1" customWidth="1"/>
    <col min="3" max="3" width="10.83203125" bestFit="1" customWidth="1"/>
    <col min="4" max="4" width="9.58203125" bestFit="1" customWidth="1"/>
    <col min="5" max="5" width="6.33203125" bestFit="1" customWidth="1"/>
    <col min="6" max="6" width="81.08203125" bestFit="1" customWidth="1"/>
    <col min="7" max="7" width="21.33203125" bestFit="1" customWidth="1"/>
    <col min="8" max="8" width="21.75" bestFit="1" customWidth="1"/>
    <col min="9" max="9" width="7.5" bestFit="1" customWidth="1"/>
    <col min="10" max="10" width="10.5" customWidth="1"/>
    <col min="11" max="11" width="27.83203125" bestFit="1" customWidth="1"/>
  </cols>
  <sheetData>
    <row r="1" spans="1:11" ht="26">
      <c r="A1" s="68" t="s">
        <v>70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17.5" thickBot="1">
      <c r="A2" s="14"/>
      <c r="B2" s="14"/>
      <c r="C2" s="15"/>
      <c r="D2" s="16"/>
      <c r="E2" s="14"/>
      <c r="F2" s="16"/>
      <c r="G2" s="16"/>
      <c r="H2" s="16"/>
      <c r="I2" s="16"/>
      <c r="J2" s="69" t="s">
        <v>19</v>
      </c>
      <c r="K2" s="70"/>
    </row>
    <row r="3" spans="1:11">
      <c r="A3" s="17" t="s">
        <v>20</v>
      </c>
      <c r="B3" s="18" t="s">
        <v>21</v>
      </c>
      <c r="C3" s="19" t="s">
        <v>22</v>
      </c>
      <c r="D3" s="18" t="s">
        <v>23</v>
      </c>
      <c r="E3" s="18" t="s">
        <v>24</v>
      </c>
      <c r="F3" s="18" t="s">
        <v>34</v>
      </c>
      <c r="G3" s="18" t="s">
        <v>35</v>
      </c>
      <c r="H3" s="18" t="s">
        <v>25</v>
      </c>
      <c r="I3" s="18" t="s">
        <v>26</v>
      </c>
      <c r="J3" s="18" t="s">
        <v>27</v>
      </c>
      <c r="K3" s="20" t="s">
        <v>28</v>
      </c>
    </row>
    <row r="4" spans="1:11">
      <c r="A4" s="71" t="s">
        <v>29</v>
      </c>
      <c r="B4" s="21">
        <v>1</v>
      </c>
      <c r="C4" s="44">
        <v>45994</v>
      </c>
      <c r="D4" s="45" t="s">
        <v>45</v>
      </c>
      <c r="E4" s="45" t="s">
        <v>482</v>
      </c>
      <c r="F4" s="45" t="s">
        <v>74</v>
      </c>
      <c r="G4" s="43" t="s">
        <v>496</v>
      </c>
      <c r="H4" s="42" t="s">
        <v>497</v>
      </c>
      <c r="I4" s="42" t="s">
        <v>498</v>
      </c>
      <c r="J4" s="47">
        <v>100000</v>
      </c>
      <c r="K4" s="41"/>
    </row>
    <row r="5" spans="1:11">
      <c r="A5" s="72"/>
      <c r="B5" s="21">
        <v>2</v>
      </c>
      <c r="C5" s="44">
        <v>45996</v>
      </c>
      <c r="D5" s="45" t="s">
        <v>491</v>
      </c>
      <c r="E5" s="45" t="s">
        <v>39</v>
      </c>
      <c r="F5" s="45" t="s">
        <v>492</v>
      </c>
      <c r="G5" s="43" t="s">
        <v>493</v>
      </c>
      <c r="H5" s="42" t="s">
        <v>494</v>
      </c>
      <c r="I5" s="42" t="s">
        <v>495</v>
      </c>
      <c r="J5" s="47">
        <v>100000</v>
      </c>
      <c r="K5" s="41"/>
    </row>
    <row r="6" spans="1:11">
      <c r="A6" s="72"/>
      <c r="B6" s="21">
        <v>3</v>
      </c>
      <c r="C6" s="44">
        <v>45997</v>
      </c>
      <c r="D6" s="45" t="s">
        <v>41</v>
      </c>
      <c r="E6" s="45" t="s">
        <v>39</v>
      </c>
      <c r="F6" s="45" t="s">
        <v>401</v>
      </c>
      <c r="G6" s="43" t="s">
        <v>483</v>
      </c>
      <c r="H6" s="42" t="s">
        <v>409</v>
      </c>
      <c r="I6" s="42" t="s">
        <v>484</v>
      </c>
      <c r="J6" s="47">
        <v>100000</v>
      </c>
      <c r="K6" s="41"/>
    </row>
    <row r="7" spans="1:11">
      <c r="A7" s="72"/>
      <c r="B7" s="21">
        <v>4</v>
      </c>
      <c r="C7" s="44">
        <v>46005</v>
      </c>
      <c r="D7" s="45" t="s">
        <v>41</v>
      </c>
      <c r="E7" s="45" t="s">
        <v>499</v>
      </c>
      <c r="F7" s="45" t="s">
        <v>500</v>
      </c>
      <c r="G7" s="43" t="s">
        <v>501</v>
      </c>
      <c r="H7" s="42" t="s">
        <v>502</v>
      </c>
      <c r="I7" s="42" t="s">
        <v>503</v>
      </c>
      <c r="J7" s="47">
        <v>100000</v>
      </c>
      <c r="K7" s="41"/>
    </row>
    <row r="8" spans="1:11">
      <c r="A8" s="72"/>
      <c r="B8" s="21">
        <v>5</v>
      </c>
      <c r="C8" s="44">
        <v>46005</v>
      </c>
      <c r="D8" s="45" t="s">
        <v>54</v>
      </c>
      <c r="E8" s="45" t="s">
        <v>504</v>
      </c>
      <c r="F8" s="45" t="s">
        <v>505</v>
      </c>
      <c r="G8" s="43" t="s">
        <v>505</v>
      </c>
      <c r="H8" s="42" t="s">
        <v>506</v>
      </c>
      <c r="I8" s="42" t="s">
        <v>507</v>
      </c>
      <c r="J8" s="47">
        <v>100000</v>
      </c>
      <c r="K8" s="41"/>
    </row>
    <row r="9" spans="1:11">
      <c r="A9" s="72"/>
      <c r="B9" s="21">
        <v>6</v>
      </c>
      <c r="C9" s="44">
        <v>45999</v>
      </c>
      <c r="D9" s="45" t="s">
        <v>508</v>
      </c>
      <c r="E9" s="45" t="s">
        <v>509</v>
      </c>
      <c r="F9" s="45" t="s">
        <v>510</v>
      </c>
      <c r="G9" s="50" t="s">
        <v>511</v>
      </c>
      <c r="H9" s="50"/>
      <c r="I9" s="42" t="s">
        <v>512</v>
      </c>
      <c r="J9" s="47">
        <v>150000</v>
      </c>
      <c r="K9" s="41"/>
    </row>
    <row r="10" spans="1:11">
      <c r="A10" s="72"/>
      <c r="B10" s="21">
        <v>7</v>
      </c>
      <c r="C10" s="44">
        <v>46006</v>
      </c>
      <c r="D10" s="45" t="s">
        <v>513</v>
      </c>
      <c r="E10" s="45" t="s">
        <v>39</v>
      </c>
      <c r="F10" s="45" t="s">
        <v>515</v>
      </c>
      <c r="G10" s="43" t="s">
        <v>518</v>
      </c>
      <c r="H10" s="42"/>
      <c r="I10" s="42" t="s">
        <v>520</v>
      </c>
      <c r="J10" s="47">
        <v>100000</v>
      </c>
      <c r="K10" s="41"/>
    </row>
    <row r="11" spans="1:11">
      <c r="A11" s="72"/>
      <c r="B11" s="21">
        <v>8</v>
      </c>
      <c r="C11" s="44">
        <v>46006</v>
      </c>
      <c r="D11" s="45" t="s">
        <v>523</v>
      </c>
      <c r="E11" s="45" t="s">
        <v>525</v>
      </c>
      <c r="F11" s="45" t="s">
        <v>516</v>
      </c>
      <c r="G11" s="43" t="s">
        <v>514</v>
      </c>
      <c r="H11" s="42"/>
      <c r="I11" s="42" t="s">
        <v>521</v>
      </c>
      <c r="J11" s="47">
        <v>100000</v>
      </c>
      <c r="K11" s="41"/>
    </row>
    <row r="12" spans="1:11">
      <c r="A12" s="72"/>
      <c r="B12" s="21">
        <v>9</v>
      </c>
      <c r="C12" s="44">
        <v>46006</v>
      </c>
      <c r="D12" s="45" t="s">
        <v>524</v>
      </c>
      <c r="E12" s="45" t="s">
        <v>39</v>
      </c>
      <c r="F12" s="45" t="s">
        <v>517</v>
      </c>
      <c r="G12" s="43" t="s">
        <v>519</v>
      </c>
      <c r="H12" s="42"/>
      <c r="I12" s="42" t="s">
        <v>522</v>
      </c>
      <c r="J12" s="47">
        <v>100000</v>
      </c>
      <c r="K12" s="41"/>
    </row>
    <row r="13" spans="1:11">
      <c r="A13" s="72"/>
      <c r="B13" s="21">
        <v>10</v>
      </c>
      <c r="C13" s="44">
        <v>46007</v>
      </c>
      <c r="D13" s="43" t="s">
        <v>45</v>
      </c>
      <c r="E13" s="45" t="s">
        <v>39</v>
      </c>
      <c r="F13" s="45" t="s">
        <v>526</v>
      </c>
      <c r="G13" s="42" t="s">
        <v>527</v>
      </c>
      <c r="H13" s="42" t="s">
        <v>528</v>
      </c>
      <c r="I13" s="42" t="s">
        <v>529</v>
      </c>
      <c r="J13" s="47">
        <v>100000</v>
      </c>
      <c r="K13" s="41"/>
    </row>
    <row r="14" spans="1:11">
      <c r="A14" s="72"/>
      <c r="B14" s="55">
        <v>11</v>
      </c>
      <c r="C14" s="44">
        <v>46015</v>
      </c>
      <c r="D14" s="43" t="s">
        <v>42</v>
      </c>
      <c r="E14" s="42" t="s">
        <v>37</v>
      </c>
      <c r="F14" s="56" t="s">
        <v>533</v>
      </c>
      <c r="G14" s="42" t="s">
        <v>535</v>
      </c>
      <c r="H14" s="42" t="s">
        <v>534</v>
      </c>
      <c r="I14" s="57" t="s">
        <v>536</v>
      </c>
      <c r="J14" s="47">
        <v>100000</v>
      </c>
      <c r="K14" s="41"/>
    </row>
    <row r="15" spans="1:11">
      <c r="A15" s="72"/>
      <c r="B15" s="55">
        <v>12</v>
      </c>
      <c r="C15" s="44">
        <v>46017</v>
      </c>
      <c r="D15" s="43" t="s">
        <v>42</v>
      </c>
      <c r="E15" s="42" t="s">
        <v>37</v>
      </c>
      <c r="F15" s="56" t="s">
        <v>537</v>
      </c>
      <c r="G15" s="42" t="s">
        <v>73</v>
      </c>
      <c r="H15" s="42" t="s">
        <v>72</v>
      </c>
      <c r="I15" s="57" t="s">
        <v>538</v>
      </c>
      <c r="J15" s="47">
        <v>100000</v>
      </c>
      <c r="K15" s="41"/>
    </row>
    <row r="16" spans="1:11">
      <c r="A16" s="72"/>
      <c r="B16" s="55">
        <v>13</v>
      </c>
      <c r="C16" s="44">
        <v>46013</v>
      </c>
      <c r="D16" s="43" t="s">
        <v>41</v>
      </c>
      <c r="E16" s="42" t="s">
        <v>37</v>
      </c>
      <c r="F16" s="56" t="s">
        <v>530</v>
      </c>
      <c r="G16" s="42" t="s">
        <v>71</v>
      </c>
      <c r="H16" s="42" t="s">
        <v>531</v>
      </c>
      <c r="I16" s="57" t="s">
        <v>532</v>
      </c>
      <c r="J16" s="47">
        <v>100000</v>
      </c>
      <c r="K16" s="41"/>
    </row>
    <row r="17" spans="1:11">
      <c r="A17" s="72"/>
      <c r="B17" s="55">
        <v>14</v>
      </c>
      <c r="C17" s="44"/>
      <c r="D17" s="43"/>
      <c r="E17" s="42"/>
      <c r="F17" s="56"/>
      <c r="G17" s="42"/>
      <c r="H17" s="42"/>
      <c r="I17" s="57"/>
      <c r="J17" s="47"/>
      <c r="K17" s="41"/>
    </row>
    <row r="18" spans="1:11" ht="17.5" thickBot="1">
      <c r="A18" s="73"/>
      <c r="B18" s="74" t="s">
        <v>30</v>
      </c>
      <c r="C18" s="75"/>
      <c r="D18" s="75"/>
      <c r="E18" s="75"/>
      <c r="F18" s="75"/>
      <c r="G18" s="75"/>
      <c r="H18" s="75"/>
      <c r="I18" s="75"/>
      <c r="J18" s="30">
        <f>SUM(J4:J16)</f>
        <v>1350000</v>
      </c>
      <c r="K18" s="27"/>
    </row>
    <row r="19" spans="1:11">
      <c r="A19" s="17" t="s">
        <v>20</v>
      </c>
      <c r="B19" s="18" t="s">
        <v>21</v>
      </c>
      <c r="C19" s="19" t="s">
        <v>22</v>
      </c>
      <c r="D19" s="18" t="s">
        <v>23</v>
      </c>
      <c r="E19" s="18" t="s">
        <v>24</v>
      </c>
      <c r="F19" s="18" t="s">
        <v>34</v>
      </c>
      <c r="G19" s="18" t="s">
        <v>36</v>
      </c>
      <c r="H19" s="18" t="s">
        <v>25</v>
      </c>
      <c r="I19" s="18" t="s">
        <v>26</v>
      </c>
      <c r="J19" s="18" t="s">
        <v>27</v>
      </c>
      <c r="K19" s="20" t="s">
        <v>28</v>
      </c>
    </row>
    <row r="20" spans="1:11">
      <c r="A20" s="61" t="s">
        <v>31</v>
      </c>
      <c r="B20" s="22">
        <v>1</v>
      </c>
      <c r="C20" s="32">
        <v>45998</v>
      </c>
      <c r="D20" s="43" t="s">
        <v>476</v>
      </c>
      <c r="E20" s="43" t="s">
        <v>477</v>
      </c>
      <c r="F20" s="43" t="s">
        <v>478</v>
      </c>
      <c r="G20" s="43" t="s">
        <v>479</v>
      </c>
      <c r="H20" s="42" t="s">
        <v>480</v>
      </c>
      <c r="I20" s="42" t="s">
        <v>481</v>
      </c>
      <c r="J20" s="34">
        <v>100000</v>
      </c>
      <c r="K20" s="27"/>
    </row>
    <row r="21" spans="1:11">
      <c r="A21" s="62"/>
      <c r="B21" s="22">
        <v>2</v>
      </c>
      <c r="C21" s="44">
        <v>45997</v>
      </c>
      <c r="D21" s="45" t="s">
        <v>485</v>
      </c>
      <c r="E21" s="45" t="s">
        <v>486</v>
      </c>
      <c r="F21" s="45" t="s">
        <v>489</v>
      </c>
      <c r="G21" s="43" t="s">
        <v>490</v>
      </c>
      <c r="H21" s="42" t="s">
        <v>487</v>
      </c>
      <c r="I21" s="42" t="s">
        <v>488</v>
      </c>
      <c r="J21" s="47">
        <v>100000</v>
      </c>
      <c r="K21" s="27"/>
    </row>
    <row r="22" spans="1:11">
      <c r="A22" s="62"/>
      <c r="B22" s="22">
        <v>3</v>
      </c>
      <c r="C22" s="32"/>
      <c r="D22" s="43"/>
      <c r="E22" s="43"/>
      <c r="F22" s="43"/>
      <c r="G22" s="43"/>
      <c r="H22" s="42"/>
      <c r="I22" s="42"/>
      <c r="J22" s="34"/>
      <c r="K22" s="27"/>
    </row>
    <row r="23" spans="1:11">
      <c r="A23" s="62"/>
      <c r="B23" s="22">
        <v>4</v>
      </c>
      <c r="C23" s="32"/>
      <c r="D23" s="43"/>
      <c r="E23" s="43"/>
      <c r="F23" s="43"/>
      <c r="G23" s="43"/>
      <c r="H23" s="42"/>
      <c r="I23" s="42"/>
      <c r="J23" s="34"/>
      <c r="K23" s="27"/>
    </row>
    <row r="24" spans="1:11">
      <c r="A24" s="62"/>
      <c r="B24" s="22">
        <v>5</v>
      </c>
      <c r="C24" s="32"/>
      <c r="D24" s="43"/>
      <c r="E24" s="43"/>
      <c r="F24" s="31"/>
      <c r="G24" s="43"/>
      <c r="H24" s="23"/>
      <c r="I24" s="33"/>
      <c r="J24" s="34"/>
      <c r="K24" s="27"/>
    </row>
    <row r="25" spans="1:11" ht="17.5" thickBot="1">
      <c r="A25" s="63"/>
      <c r="B25" s="64" t="s">
        <v>30</v>
      </c>
      <c r="C25" s="64"/>
      <c r="D25" s="64"/>
      <c r="E25" s="64"/>
      <c r="F25" s="64"/>
      <c r="G25" s="64"/>
      <c r="H25" s="64"/>
      <c r="I25" s="64"/>
      <c r="J25" s="28">
        <f>SUM(J20:J24)</f>
        <v>200000</v>
      </c>
      <c r="K25" s="27"/>
    </row>
    <row r="26" spans="1:11">
      <c r="A26" s="17" t="s">
        <v>20</v>
      </c>
      <c r="B26" s="18" t="s">
        <v>21</v>
      </c>
      <c r="C26" s="19" t="s">
        <v>22</v>
      </c>
      <c r="D26" s="18" t="s">
        <v>23</v>
      </c>
      <c r="E26" s="18" t="s">
        <v>24</v>
      </c>
      <c r="F26" s="18" t="s">
        <v>34</v>
      </c>
      <c r="G26" s="18"/>
      <c r="H26" s="18" t="s">
        <v>25</v>
      </c>
      <c r="I26" s="18" t="s">
        <v>26</v>
      </c>
      <c r="J26" s="18" t="s">
        <v>27</v>
      </c>
      <c r="K26" s="20" t="s">
        <v>28</v>
      </c>
    </row>
    <row r="27" spans="1:11">
      <c r="A27" s="61" t="s">
        <v>32</v>
      </c>
      <c r="B27" s="24">
        <v>1</v>
      </c>
      <c r="C27" s="26"/>
      <c r="D27" s="24"/>
      <c r="E27" s="24"/>
      <c r="F27" s="24"/>
      <c r="G27" s="29"/>
      <c r="H27" s="23"/>
      <c r="I27" s="24"/>
      <c r="J27" s="25"/>
      <c r="K27" s="27"/>
    </row>
    <row r="28" spans="1:11">
      <c r="A28" s="62"/>
      <c r="B28" s="24"/>
      <c r="C28" s="26"/>
      <c r="D28" s="24"/>
      <c r="E28" s="24"/>
      <c r="F28" s="29"/>
      <c r="G28" s="29"/>
      <c r="H28" s="23"/>
      <c r="I28" s="24"/>
      <c r="J28" s="25"/>
      <c r="K28" s="27"/>
    </row>
    <row r="29" spans="1:11">
      <c r="A29" s="63"/>
      <c r="B29" s="64" t="s">
        <v>30</v>
      </c>
      <c r="C29" s="64"/>
      <c r="D29" s="64"/>
      <c r="E29" s="64"/>
      <c r="F29" s="64"/>
      <c r="G29" s="64"/>
      <c r="H29" s="64"/>
      <c r="I29" s="64"/>
      <c r="J29" s="28">
        <f>SUM(J27:J28)</f>
        <v>0</v>
      </c>
      <c r="K29" s="27"/>
    </row>
    <row r="30" spans="1:11" ht="17.5" thickBot="1">
      <c r="A30" s="65" t="s">
        <v>33</v>
      </c>
      <c r="B30" s="66"/>
      <c r="C30" s="66"/>
      <c r="D30" s="66"/>
      <c r="E30" s="66"/>
      <c r="F30" s="66"/>
      <c r="G30" s="66"/>
      <c r="H30" s="66"/>
      <c r="I30" s="67"/>
      <c r="J30" s="39">
        <f>SUM(J18,J25,J29)</f>
        <v>1550000</v>
      </c>
      <c r="K30" s="40"/>
    </row>
  </sheetData>
  <mergeCells count="9">
    <mergeCell ref="A27:A29"/>
    <mergeCell ref="B29:I29"/>
    <mergeCell ref="A30:I30"/>
    <mergeCell ref="A1:K1"/>
    <mergeCell ref="J2:K2"/>
    <mergeCell ref="A4:A18"/>
    <mergeCell ref="B18:I18"/>
    <mergeCell ref="A20:A25"/>
    <mergeCell ref="B25:I2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"/>
  <sheetViews>
    <sheetView workbookViewId="0"/>
  </sheetViews>
  <sheetFormatPr defaultRowHeight="17"/>
  <sheetData>
    <row r="1" spans="1:1">
      <c r="A1" s="43" t="s">
        <v>38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총계</vt:lpstr>
      <vt:lpstr>1월</vt:lpstr>
      <vt:lpstr>2월</vt:lpstr>
      <vt:lpstr>3월</vt:lpstr>
      <vt:lpstr>4월</vt:lpstr>
      <vt:lpstr>5월</vt:lpstr>
      <vt:lpstr>6월</vt:lpstr>
      <vt:lpstr>7월</vt:lpstr>
      <vt:lpstr>8월</vt:lpstr>
      <vt:lpstr>9월</vt:lpstr>
      <vt:lpstr>10월</vt:lpstr>
      <vt:lpstr>11월</vt:lpstr>
      <vt:lpstr>12월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광영성</cp:lastModifiedBy>
  <cp:lastPrinted>2025-06-29T05:54:30Z</cp:lastPrinted>
  <dcterms:created xsi:type="dcterms:W3CDTF">2021-01-04T03:58:37Z</dcterms:created>
  <dcterms:modified xsi:type="dcterms:W3CDTF">2026-02-19T06:32:16Z</dcterms:modified>
</cp:coreProperties>
</file>